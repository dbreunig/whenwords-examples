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ormulas" sheetId="2" state="visible" r:id="rId2"/>
    <sheet xmlns:r="http://schemas.openxmlformats.org/officeDocument/2006/relationships" name="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WHENWORDS FOR EXCEL - Test Workbook</t>
        </is>
      </c>
    </row>
    <row r="2">
      <c r="A2" t="inlineStr"/>
    </row>
    <row r="3">
      <c r="A3" t="inlineStr">
        <is>
          <t>This workbook tests the whenwords LAMBDA functions.</t>
        </is>
      </c>
    </row>
    <row r="4">
      <c r="A4" t="inlineStr"/>
    </row>
    <row r="5">
      <c r="A5" t="inlineStr">
        <is>
          <t>SETUP INSTRUCTIONS:</t>
        </is>
      </c>
    </row>
    <row r="6">
      <c r="A6" t="inlineStr">
        <is>
          <t>1. Go to Formulas &gt; Name Manager (Ctrl+F3)</t>
        </is>
      </c>
    </row>
    <row r="7">
      <c r="A7" t="inlineStr">
        <is>
          <t>2. Add each formula from the 'Formulas' sheet as a Named Range</t>
        </is>
      </c>
    </row>
    <row r="8">
      <c r="A8" t="inlineStr">
        <is>
          <t>3. The 'Tests' sheet will automatically calculate results</t>
        </is>
      </c>
    </row>
    <row r="9">
      <c r="A9" t="inlineStr"/>
    </row>
    <row r="10">
      <c r="A10" t="inlineStr">
        <is>
          <t>REQUIREMENTS:</t>
        </is>
      </c>
    </row>
    <row r="11">
      <c r="A11" t="inlineStr">
        <is>
          <t>- Excel 365 or Excel for Web (LAMBDA support required)</t>
        </is>
      </c>
    </row>
    <row r="12">
      <c r="A12" t="inlineStr">
        <is>
          <t>- TEXTSPLIT function (Excel 365 Sep 2022+)</t>
        </is>
      </c>
    </row>
    <row r="13">
      <c r="A13" t="inlineStr"/>
    </row>
    <row r="14">
      <c r="A14" t="inlineStr">
        <is>
          <t>HELPER FUNCTIONS (add first):</t>
        </is>
      </c>
    </row>
    <row r="15">
      <c r="A15" t="inlineStr">
        <is>
          <t>- WW_PLURALIZE</t>
        </is>
      </c>
    </row>
    <row r="16">
      <c r="A16" t="inlineStr">
        <is>
          <t>- WW_UNIX_TO_DATE</t>
        </is>
      </c>
    </row>
    <row r="17">
      <c r="A17" t="inlineStr">
        <is>
          <t>- WW_DATE_TO_UNIX</t>
        </is>
      </c>
    </row>
    <row r="18">
      <c r="A18" t="inlineStr">
        <is>
          <t>- WW_ABS_ROUND</t>
        </is>
      </c>
    </row>
    <row r="19">
      <c r="A19" t="inlineStr"/>
    </row>
    <row r="20">
      <c r="A20" t="inlineStr">
        <is>
          <t>MAIN FUNCTIONS:</t>
        </is>
      </c>
    </row>
    <row r="21">
      <c r="A21" t="inlineStr">
        <is>
          <t>- WW_TIMEAGO</t>
        </is>
      </c>
    </row>
    <row r="22">
      <c r="A22" t="inlineStr">
        <is>
          <t>- WW_DURATION</t>
        </is>
      </c>
    </row>
    <row r="23">
      <c r="A23" t="inlineStr">
        <is>
          <t>- WW_PARSE_DURATION</t>
        </is>
      </c>
    </row>
    <row r="24">
      <c r="A24" t="inlineStr">
        <is>
          <t>- WW_HUMAN_DATE</t>
        </is>
      </c>
    </row>
    <row r="25">
      <c r="A25" t="inlineStr">
        <is>
          <t>- WW_DATE_RANGE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2" t="inlineStr">
        <is>
          <t>Function Name</t>
        </is>
      </c>
      <c r="B1" s="2" t="inlineStr">
        <is>
          <t>Formula (paste into Name Manager)</t>
        </is>
      </c>
    </row>
    <row r="2">
      <c r="A2" t="inlineStr">
        <is>
          <t>WW_PLURALIZE</t>
        </is>
      </c>
      <c r="B2">
        <f>LAMBDA(n, singular, plural, IF(n = 1, singular, plural))</f>
        <v/>
      </c>
    </row>
    <row r="3">
      <c r="A3" t="inlineStr">
        <is>
          <t>WW_UNIX_TO_DATE</t>
        </is>
      </c>
      <c r="B3">
        <f>LAMBDA(unix_ts, unix_ts / 86400 + 25569)</f>
        <v/>
      </c>
    </row>
    <row r="4">
      <c r="A4" t="inlineStr">
        <is>
          <t>WW_DATE_TO_UNIX</t>
        </is>
      </c>
      <c r="B4">
        <f>LAMBDA(excel_date, (excel_date - 25569) * 86400)</f>
        <v/>
      </c>
    </row>
    <row r="5">
      <c r="A5" t="inlineStr">
        <is>
          <t>WW_ABS_ROUND</t>
        </is>
      </c>
      <c r="B5">
        <f>LAMBDA(n, FLOOR(n + 0.5, 1))</f>
        <v/>
      </c>
    </row>
    <row r="6">
      <c r="A6" t="inlineStr">
        <is>
          <t>WW_TIMEAGO</t>
        </is>
      </c>
      <c r="B6">
        <f>LAMBDA(timestamp, reference,
    LET(
        diff, reference - timestamp,
        abs_diff, ABS(diff),
        is_future, diff &lt; 0,
        seconds, abs_diff,
        minutes, seconds / 60,
        hours, minutes / 60,
        days, hours / 24,
        months, days / 30.44,
        years, days / 365,
        result, IF(seconds &lt; 45, "just now",
            IF(seconds &lt; 90, IF(is_future, "in 1 minute", "1 minute ago"),
            IF(minutes &lt; 45,
                LET(n, WW_ABS_ROUND(minutes),
                    unit, WW_PLURALIZE(n, "minute", "minutes"),
                    IF(is_future, "in " &amp; n &amp; " " &amp; unit, n &amp; " " &amp; unit &amp; " ago")),
            IF(minutes &lt; 90, IF(is_future, "in 1 hour", "1 hour ago"),
            IF(hours &lt; 22,
                LET(n, WW_ABS_ROUND(hours),
                    unit, WW_PLURALIZE(n, "hour", "hours"),
                    IF(is_future, "in " &amp; n &amp; " " &amp; unit, n &amp; " " &amp; unit &amp; " ago")),
            IF(hours &lt; 36, IF(is_future, "in 1 day", "1 day ago"),
            IF(days &lt; 26,
                LET(n, WW_ABS_ROUND(days),
                    unit, WW_PLURALIZE(n, "day", "days"),
                    IF(is_future, "in " &amp; n &amp; " " &amp; unit, n &amp; " " &amp; unit &amp; " ago")),
            IF(days &lt; 46, IF(is_future, "in 1 month", "1 month ago"),
            IF(days &lt; 320,
                LET(n, WW_ABS_ROUND(months),
                    unit, WW_PLURALIZE(n, "month", "months"),
                    IF(is_future, "in " &amp; n &amp; " " &amp; unit, n &amp; " " &amp; unit &amp; " ago")),
            IF(days &lt; 548, IF(is_future, "in 1 year", "1 year ago"),
                LET(n, WW_ABS_ROUND(years),
                    unit, WW_PLURALIZE(n, "year", "years"),
                    IF(is_future, "in " &amp; n &amp; " " &amp; unit, n &amp; " " &amp; unit &amp; " ago"))
            )))))))))),
        result
    )
)</f>
        <v/>
      </c>
    </row>
    <row r="7">
      <c r="A7" t="inlineStr">
        <is>
          <t>WW_DURATION</t>
        </is>
      </c>
      <c r="B7">
        <f>LAMBDA(seconds, [compact], [max_units],
    LET(
        is_compact, IF(ISOMITTED(compact), FALSE, compact),
        units_limit, IF(ISOMITTED(max_units), 2, max_units),
        YEAR, 31536000,
        MONTH, 2592000,
        DAY, 86400,
        HOUR, 3600,
        MINUTE, 60,
        _check_error, IF(seconds &lt; 0, "ERROR: Negative duration", ""),
        _years, FLOOR(seconds / YEAR, 1),
        _rem1, seconds - _years * YEAR,
        _months, FLOOR(_rem1 / MONTH, 1),
        _rem2, _rem1 - _months * MONTH,
        _days, FLOOR(_rem2 / DAY, 1),
        _rem3, _rem2 - _days * DAY,
        _hours, FLOOR(_rem3 / HOUR, 1),
        _rem4, _rem3 - _hours * HOUR,
        _minutes, FLOOR(_rem4 / MINUTE, 1),
        _secs, _rem4 - _minutes * MINUTE,
        y_str, IF(_years &gt; 0, IF(is_compact, _years &amp; "y", _years &amp; " " &amp; WW_PLURALIZE(_years, "year", "years")), ""),
        mo_str, IF(_months &gt; 0, IF(is_compact, _months &amp; "mo", _months &amp; " " &amp; WW_PLURALIZE(_months, "month", "months")), ""),
        d_str, IF(_days &gt; 0, IF(is_compact, _days &amp; "d", _days &amp; " " &amp; WW_PLURALIZE(_days, "day", "days")), ""),
        h_str, IF(_hours &gt; 0, IF(is_compact, _hours &amp; "h", _hours &amp; " " &amp; WW_PLURALIZE(_hours, "hour", "hours")), ""),
        m_str, IF(_minutes &gt; 0, IF(is_compact, _minutes &amp; "m", _minutes &amp; " " &amp; WW_PLURALIZE(_minutes, "minute", "minutes")), ""),
        s_str, IF(_secs &gt; 0, IF(is_compact, FLOOR(_secs, 1) &amp; "s", FLOOR(_secs, 1) &amp; " " &amp; WW_PLURALIZE(FLOOR(_secs, 1), "second", "seconds")), ""),
        parts, FILTER({y_str; mo_str; d_str; h_str; m_str; s_str}, {y_str; mo_str; d_str; h_str; m_str; s_str} &lt;&gt; ""),
        limited_parts, IF(ROWS(parts) &gt; units_limit, INDEX(parts, SEQUENCE(units_limit)), parts),
        sep, IF(is_compact, " ", ", "),
        result, IF(_check_error &lt;&gt; "", _check_error,
            IF(seconds = 0, IF(is_compact, "0s", "0 seconds"),
            TEXTJOIN(sep, TRUE, limited_parts))),
        result
    )
)</f>
        <v/>
      </c>
    </row>
    <row r="8">
      <c r="A8" t="inlineStr">
        <is>
          <t>WW_PARSE_DURATION</t>
        </is>
      </c>
      <c r="B8">
        <f>LAMBDA(text,
    LET(
        cleaned, TRIM(text),
        lower_text, LOWER(cleaned),
        _is_empty, LEN(cleaned) = 0,
        _is_negative, LEFT(cleaned, 1) = "-",
        _is_colon, ISNUMBER(SEARCH(":", cleaned)),
        _colon_result, IF(_is_colon,
            LET(
                colon_pos1, SEARCH(":", cleaned),
                before_colon, LEFT(cleaned, colon_pos1 - 1),
                after_colon, MID(cleaned, colon_pos1 + 1, 100),
                has_second_colon, ISNUMBER(SEARCH(":", after_colon)),
                hours, VALUE(before_colon),
                result, IF(has_second_colon,
                    LET(
                        colon_pos2, SEARCH(":", after_colon),
                        mins, VALUE(LEFT(after_colon, colon_pos2 - 1)),
                        secs, VALUE(MID(after_colon, colon_pos2 + 1, 100)),
                        hours * 3600 + mins * 60 + secs
                    ),
                    LET(
                        mins, VALUE(after_colon),
                        hours * 3600 + mins * 60
                    )
                ),
                result
            ),
            0
        ),
        _no_units_text, SUBSTITUTE(SUBSTITUTE(SUBSTITUTE(SUBSTITUTE(SUBSTITUTE(
            SUBSTITUTE(SUBSTITUTE(SUBSTITUTE(SUBSTITUTE(SUBSTITUTE(
            SUBSTITUTE(SUBSTITUTE(SUBSTITUTE(SUBSTITUTE(SUBSTITUTE(
            SUBSTITUTE(SUBSTITUTE(SUBSTITUTE(SUBSTITUTE(SUBSTITUTE(
            SUBSTITUTE(SUBSTITUTE(SUBSTITUTE(SUBSTITUTE(SUBSTITUTE(
            SUBSTITUTE(SUBSTITUTE(SUBSTITUTE(lower_text,
            "seconds", "~S~"), "second", "~S~"), "secs", "~S~"), "sec", "~S~"), "s", "~S~"),
            "minutes", "~M~"), "minute", "~M~"), "mins", "~M~"), "min", "~M~"), "m", "~M~"),
            "hours", "~H~"), "hour", "~H~"), "hrs", "~H~"), "hr", "~H~"), "h", "~H~"),
            "days", "~D~"), "day", "~D~"), "d", "~D~"),
            "weeks", "~W~"), "week", "~W~"), "wks", "~W~"), "wk", "~W~"), "w", "~W~"),
            "and", ""), ",", " "), "  ", " "), "  ", " "), "  ", " "),
        _extract_weeks, LET(
            pos, SEARCH("~W~", _no_units_text),
            IF(ISERROR(pos), 0,
                LET(
                    before, TRIM(LEFT(_no_units_text, pos - 1)),
                    parts, TEXTSPLIT(before, " "),
                    last_part, INDEX(parts, COLUMNS(parts)),
                    VALUE(last_part) * 604800
                )
            )
        ),
        _extract_days, LET(
            pos, SEARCH("~D~", _no_units_text),
            IF(ISERROR(pos), 0,
                LET(
                    before, TRIM(LEFT(_no_units_text, pos - 1)),
                    parts, TEXTSPLIT(before, " "),
                    last_part, INDEX(parts, COLUMNS(parts)),
                    VALUE(last_part) * 86400
                )
            )
        ),
        _extract_hours, LET(
            pos, SEARCH("~H~", _no_units_text),
            IF(ISERROR(pos), 0,
                LET(
                    before, TRIM(LEFT(_no_units_text, pos - 1)),
                    parts, TEXTSPLIT(before, " "),
                    last_part, INDEX(parts, COLUMNS(parts)),
                    VALUE(last_part) * 3600
                )
            )
        ),
        _extract_mins, LET(
            pos, SEARCH("~M~", _no_units_text),
            IF(ISERROR(pos), 0,
                LET(
                    before, TRIM(LEFT(_no_units_text, pos - 1)),
                    parts, TEXTSPLIT(before, " "),
                    last_part, INDEX(parts, COLUMNS(parts)),
                    VALUE(last_part) * 60
                )
            )
        ),
        _extract_secs, LET(
            pos, SEARCH("~S~", _no_units_text),
            IF(ISERROR(pos), 0,
                LET(
                    before, TRIM(LEFT(_no_units_text, pos - 1)),
                    parts, TEXTSPLIT(before, " "),
                    last_part, INDEX(parts, COLUMNS(parts)),
                    VALUE(last_part)
                )
            )
        ),
        _unit_result, _extract_weeks + _extract_days + _extract_hours + _extract_mins + _extract_secs,
        _has_units, OR(ISNUMBER(SEARCH("~", _no_units_text))),
        _final, IF(_is_empty, "#ERROR: Empty string",
            IF(_is_negative, "#ERROR: Negative duration",
            IF(_is_colon, _colon_result,
            IF(NOT(_has_units), "#ERROR: No valid units",
            ROUND(_unit_result, 0))))),
        _final
    )
)</f>
        <v/>
      </c>
    </row>
    <row r="9">
      <c r="A9" t="inlineStr">
        <is>
          <t>WW_HUMAN_DATE</t>
        </is>
      </c>
      <c r="B9">
        <f>LAMBDA(timestamp, reference,
    LET(
        ts_date, FLOOR(WW_UNIX_TO_DATE(timestamp), 1),
        ref_date, FLOOR(WW_UNIX_TO_DATE(reference), 1),
        day_diff, ts_date - ref_date,
        ts_weekday, WEEKDAY(ts_date, 2),
        weekday_name, CHOOSE(ts_weekday, "Monday", "Tuesday", "Wednesday", "Thursday", "Friday", "Saturday", "Sunday"),
        ts_month, TEXT(ts_date, "mmmm"),
        ts_day, DAY(ts_date),
        ts_year, YEAR(ts_date),
        ref_year, YEAR(ref_date),
        result, IF(day_diff = 0, "Today",
            IF(day_diff = -1, "Yesterday",
            IF(day_diff = 1, "Tomorrow",
            IF(AND(day_diff &gt; -7, day_diff &lt; 0), "Last " &amp; weekday_name,
            IF(AND(day_diff &gt; 1, day_diff &lt; 7), "This " &amp; weekday_name,
            IF(ts_year = ref_year, ts_month &amp; " " &amp; ts_day,
            ts_month &amp; " " &amp; ts_day &amp; ", " &amp; ts_year)))))),
        result
    )
)</f>
        <v/>
      </c>
    </row>
    <row r="10">
      <c r="A10" t="inlineStr">
        <is>
          <t>WW_DATE_RANGE</t>
        </is>
      </c>
      <c r="B10">
        <f>LAMBDA(start_ts, end_ts,
    LET(
        _start, IF(start_ts &gt; end_ts, end_ts, start_ts),
        _end, IF(start_ts &gt; end_ts, start_ts, end_ts),
        start_date, FLOOR(WW_UNIX_TO_DATE(_start), 1),
        end_date, FLOOR(WW_UNIX_TO_DATE(_end), 1),
        start_month, TEXT(start_date, "mmmm"),
        end_month, TEXT(end_date, "mmmm"),
        start_day, DAY(start_date),
        end_day, DAY(end_date),
        start_year, YEAR(start_date),
        end_year, YEAR(end_date),
        same_day, start_date = end_date,
        same_month, AND(start_year = end_year, MONTH(start_date) = MONTH(end_date)),
        same_year, start_year = end_year,
        ndash, UNICHAR(8211),
        result, IF(same_day, start_month &amp; " " &amp; start_day &amp; ", " &amp; start_year,
            IF(same_month, start_month &amp; " " &amp; start_day &amp; ndash &amp; end_day &amp; ", " &amp; start_year,
            IF(same_year, start_month &amp; " " &amp; start_day &amp; " " &amp; ndash &amp; " " &amp; end_month &amp; " " &amp; end_day &amp; ", " &amp; start_year,
            start_month &amp; " " &amp; start_day &amp; ", " &amp; start_year &amp; " " &amp; ndash &amp; " " &amp; end_month &amp; " " &amp; end_day &amp; ", " &amp; end_year))),
        result
    )
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15" customWidth="1" min="4" max="4"/>
    <col width="10" customWidth="1" min="5" max="5"/>
    <col width="35" customWidth="1" min="6" max="6"/>
    <col width="35" customWidth="1" min="7" max="7"/>
    <col width="10" customWidth="1" min="8" max="8"/>
  </cols>
  <sheetData>
    <row r="1">
      <c r="A1" s="3" t="inlineStr">
        <is>
          <t>Function</t>
        </is>
      </c>
      <c r="B1" s="3" t="inlineStr">
        <is>
          <t>Test Name</t>
        </is>
      </c>
      <c r="C1" s="3" t="inlineStr">
        <is>
          <t>Input1</t>
        </is>
      </c>
      <c r="D1" s="3" t="inlineStr">
        <is>
          <t>Input2</t>
        </is>
      </c>
      <c r="E1" s="3" t="inlineStr">
        <is>
          <t>Input3</t>
        </is>
      </c>
      <c r="F1" s="3" t="inlineStr">
        <is>
          <t>Expected</t>
        </is>
      </c>
      <c r="G1" s="3" t="inlineStr">
        <is>
          <t>Actual</t>
        </is>
      </c>
      <c r="H1" s="3" t="inlineStr">
        <is>
          <t>Pass</t>
        </is>
      </c>
    </row>
    <row r="2">
      <c r="A2" t="inlineStr">
        <is>
          <t>timeago</t>
        </is>
      </c>
      <c r="B2" t="inlineStr">
        <is>
          <t>just now - identical timestamps</t>
        </is>
      </c>
      <c r="C2" t="n">
        <v>1704067200</v>
      </c>
      <c r="D2" t="n">
        <v>1704067200</v>
      </c>
      <c r="F2" t="inlineStr">
        <is>
          <t>just now</t>
        </is>
      </c>
      <c r="G2">
        <f>WW_TIMEAGO(C2,D2)</f>
        <v/>
      </c>
      <c r="H2">
        <f>F2=G2</f>
        <v/>
      </c>
    </row>
    <row r="3">
      <c r="A3" t="inlineStr">
        <is>
          <t>timeago</t>
        </is>
      </c>
      <c r="B3" t="inlineStr">
        <is>
          <t>just now - 30 seconds ago</t>
        </is>
      </c>
      <c r="C3" t="n">
        <v>1704067170</v>
      </c>
      <c r="D3" t="n">
        <v>1704067200</v>
      </c>
      <c r="F3" t="inlineStr">
        <is>
          <t>just now</t>
        </is>
      </c>
      <c r="G3">
        <f>WW_TIMEAGO(C3,D3)</f>
        <v/>
      </c>
      <c r="H3">
        <f>F3=G3</f>
        <v/>
      </c>
    </row>
    <row r="4">
      <c r="A4" t="inlineStr">
        <is>
          <t>timeago</t>
        </is>
      </c>
      <c r="B4" t="inlineStr">
        <is>
          <t>just now - 44 seconds ago</t>
        </is>
      </c>
      <c r="C4" t="n">
        <v>1704067156</v>
      </c>
      <c r="D4" t="n">
        <v>1704067200</v>
      </c>
      <c r="F4" t="inlineStr">
        <is>
          <t>just now</t>
        </is>
      </c>
      <c r="G4">
        <f>WW_TIMEAGO(C4,D4)</f>
        <v/>
      </c>
      <c r="H4">
        <f>F4=G4</f>
        <v/>
      </c>
    </row>
    <row r="5">
      <c r="A5" t="inlineStr">
        <is>
          <t>timeago</t>
        </is>
      </c>
      <c r="B5" t="inlineStr">
        <is>
          <t>1 minute ago - 45 seconds</t>
        </is>
      </c>
      <c r="C5" t="n">
        <v>1704067155</v>
      </c>
      <c r="D5" t="n">
        <v>1704067200</v>
      </c>
      <c r="F5" t="inlineStr">
        <is>
          <t>1 minute ago</t>
        </is>
      </c>
      <c r="G5">
        <f>WW_TIMEAGO(C5,D5)</f>
        <v/>
      </c>
      <c r="H5">
        <f>F5=G5</f>
        <v/>
      </c>
    </row>
    <row r="6">
      <c r="A6" t="inlineStr">
        <is>
          <t>timeago</t>
        </is>
      </c>
      <c r="B6" t="inlineStr">
        <is>
          <t>1 minute ago - 89 seconds</t>
        </is>
      </c>
      <c r="C6" t="n">
        <v>1704067111</v>
      </c>
      <c r="D6" t="n">
        <v>1704067200</v>
      </c>
      <c r="F6" t="inlineStr">
        <is>
          <t>1 minute ago</t>
        </is>
      </c>
      <c r="G6">
        <f>WW_TIMEAGO(C6,D6)</f>
        <v/>
      </c>
      <c r="H6">
        <f>F6=G6</f>
        <v/>
      </c>
    </row>
    <row r="7">
      <c r="A7" t="inlineStr">
        <is>
          <t>timeago</t>
        </is>
      </c>
      <c r="B7" t="inlineStr">
        <is>
          <t>2 minutes ago - 90 seconds</t>
        </is>
      </c>
      <c r="C7" t="n">
        <v>1704067110</v>
      </c>
      <c r="D7" t="n">
        <v>1704067200</v>
      </c>
      <c r="F7" t="inlineStr">
        <is>
          <t>2 minutes ago</t>
        </is>
      </c>
      <c r="G7">
        <f>WW_TIMEAGO(C7,D7)</f>
        <v/>
      </c>
      <c r="H7">
        <f>F7=G7</f>
        <v/>
      </c>
    </row>
    <row r="8">
      <c r="A8" t="inlineStr">
        <is>
          <t>timeago</t>
        </is>
      </c>
      <c r="B8" t="inlineStr">
        <is>
          <t>30 minutes ago</t>
        </is>
      </c>
      <c r="C8" t="n">
        <v>1704065400</v>
      </c>
      <c r="D8" t="n">
        <v>1704067200</v>
      </c>
      <c r="F8" t="inlineStr">
        <is>
          <t>30 minutes ago</t>
        </is>
      </c>
      <c r="G8">
        <f>WW_TIMEAGO(C8,D8)</f>
        <v/>
      </c>
      <c r="H8">
        <f>F8=G8</f>
        <v/>
      </c>
    </row>
    <row r="9">
      <c r="A9" t="inlineStr">
        <is>
          <t>timeago</t>
        </is>
      </c>
      <c r="B9" t="inlineStr">
        <is>
          <t>44 minutes ago</t>
        </is>
      </c>
      <c r="C9" t="n">
        <v>1704064560</v>
      </c>
      <c r="D9" t="n">
        <v>1704067200</v>
      </c>
      <c r="F9" t="inlineStr">
        <is>
          <t>44 minutes ago</t>
        </is>
      </c>
      <c r="G9">
        <f>WW_TIMEAGO(C9,D9)</f>
        <v/>
      </c>
      <c r="H9">
        <f>F9=G9</f>
        <v/>
      </c>
    </row>
    <row r="10">
      <c r="A10" t="inlineStr">
        <is>
          <t>timeago</t>
        </is>
      </c>
      <c r="B10" t="inlineStr">
        <is>
          <t>1 hour ago - 45 minutes</t>
        </is>
      </c>
      <c r="C10" t="n">
        <v>1704064500</v>
      </c>
      <c r="D10" t="n">
        <v>1704067200</v>
      </c>
      <c r="F10" t="inlineStr">
        <is>
          <t>1 hour ago</t>
        </is>
      </c>
      <c r="G10">
        <f>WW_TIMEAGO(C10,D10)</f>
        <v/>
      </c>
      <c r="H10">
        <f>F10=G10</f>
        <v/>
      </c>
    </row>
    <row r="11">
      <c r="A11" t="inlineStr">
        <is>
          <t>timeago</t>
        </is>
      </c>
      <c r="B11" t="inlineStr">
        <is>
          <t>1 hour ago - 89 minutes</t>
        </is>
      </c>
      <c r="C11" t="n">
        <v>1704061860</v>
      </c>
      <c r="D11" t="n">
        <v>1704067200</v>
      </c>
      <c r="F11" t="inlineStr">
        <is>
          <t>1 hour ago</t>
        </is>
      </c>
      <c r="G11">
        <f>WW_TIMEAGO(C11,D11)</f>
        <v/>
      </c>
      <c r="H11">
        <f>F11=G11</f>
        <v/>
      </c>
    </row>
    <row r="12">
      <c r="A12" t="inlineStr">
        <is>
          <t>timeago</t>
        </is>
      </c>
      <c r="B12" t="inlineStr">
        <is>
          <t>2 hours ago - 90 minutes</t>
        </is>
      </c>
      <c r="C12" t="n">
        <v>1704061800</v>
      </c>
      <c r="D12" t="n">
        <v>1704067200</v>
      </c>
      <c r="F12" t="inlineStr">
        <is>
          <t>2 hours ago</t>
        </is>
      </c>
      <c r="G12">
        <f>WW_TIMEAGO(C12,D12)</f>
        <v/>
      </c>
      <c r="H12">
        <f>F12=G12</f>
        <v/>
      </c>
    </row>
    <row r="13">
      <c r="A13" t="inlineStr">
        <is>
          <t>timeago</t>
        </is>
      </c>
      <c r="B13" t="inlineStr">
        <is>
          <t>5 hours ago</t>
        </is>
      </c>
      <c r="C13" t="n">
        <v>1704049200</v>
      </c>
      <c r="D13" t="n">
        <v>1704067200</v>
      </c>
      <c r="F13" t="inlineStr">
        <is>
          <t>5 hours ago</t>
        </is>
      </c>
      <c r="G13">
        <f>WW_TIMEAGO(C13,D13)</f>
        <v/>
      </c>
      <c r="H13">
        <f>F13=G13</f>
        <v/>
      </c>
    </row>
    <row r="14">
      <c r="A14" t="inlineStr">
        <is>
          <t>timeago</t>
        </is>
      </c>
      <c r="B14" t="inlineStr">
        <is>
          <t>21 hours ago</t>
        </is>
      </c>
      <c r="C14" t="n">
        <v>1703991600</v>
      </c>
      <c r="D14" t="n">
        <v>1704067200</v>
      </c>
      <c r="F14" t="inlineStr">
        <is>
          <t>21 hours ago</t>
        </is>
      </c>
      <c r="G14">
        <f>WW_TIMEAGO(C14,D14)</f>
        <v/>
      </c>
      <c r="H14">
        <f>F14=G14</f>
        <v/>
      </c>
    </row>
    <row r="15">
      <c r="A15" t="inlineStr">
        <is>
          <t>timeago</t>
        </is>
      </c>
      <c r="B15" t="inlineStr">
        <is>
          <t>1 day ago - 22 hours</t>
        </is>
      </c>
      <c r="C15" t="n">
        <v>1703988000</v>
      </c>
      <c r="D15" t="n">
        <v>1704067200</v>
      </c>
      <c r="F15" t="inlineStr">
        <is>
          <t>1 day ago</t>
        </is>
      </c>
      <c r="G15">
        <f>WW_TIMEAGO(C15,D15)</f>
        <v/>
      </c>
      <c r="H15">
        <f>F15=G15</f>
        <v/>
      </c>
    </row>
    <row r="16">
      <c r="A16" t="inlineStr">
        <is>
          <t>timeago</t>
        </is>
      </c>
      <c r="B16" t="inlineStr">
        <is>
          <t>1 day ago - 35 hours</t>
        </is>
      </c>
      <c r="C16" t="n">
        <v>1703941200</v>
      </c>
      <c r="D16" t="n">
        <v>1704067200</v>
      </c>
      <c r="F16" t="inlineStr">
        <is>
          <t>1 day ago</t>
        </is>
      </c>
      <c r="G16">
        <f>WW_TIMEAGO(C16,D16)</f>
        <v/>
      </c>
      <c r="H16">
        <f>F16=G16</f>
        <v/>
      </c>
    </row>
    <row r="17">
      <c r="A17" t="inlineStr">
        <is>
          <t>timeago</t>
        </is>
      </c>
      <c r="B17" t="inlineStr">
        <is>
          <t>2 days ago - 36 hours</t>
        </is>
      </c>
      <c r="C17" t="n">
        <v>1703937600</v>
      </c>
      <c r="D17" t="n">
        <v>1704067200</v>
      </c>
      <c r="F17" t="inlineStr">
        <is>
          <t>2 days ago</t>
        </is>
      </c>
      <c r="G17">
        <f>WW_TIMEAGO(C17,D17)</f>
        <v/>
      </c>
      <c r="H17">
        <f>F17=G17</f>
        <v/>
      </c>
    </row>
    <row r="18">
      <c r="A18" t="inlineStr">
        <is>
          <t>timeago</t>
        </is>
      </c>
      <c r="B18" t="inlineStr">
        <is>
          <t>7 days ago</t>
        </is>
      </c>
      <c r="C18" t="n">
        <v>1703462400</v>
      </c>
      <c r="D18" t="n">
        <v>1704067200</v>
      </c>
      <c r="F18" t="inlineStr">
        <is>
          <t>7 days ago</t>
        </is>
      </c>
      <c r="G18">
        <f>WW_TIMEAGO(C18,D18)</f>
        <v/>
      </c>
      <c r="H18">
        <f>F18=G18</f>
        <v/>
      </c>
    </row>
    <row r="19">
      <c r="A19" t="inlineStr">
        <is>
          <t>timeago</t>
        </is>
      </c>
      <c r="B19" t="inlineStr">
        <is>
          <t>25 days ago</t>
        </is>
      </c>
      <c r="C19" t="n">
        <v>1701907200</v>
      </c>
      <c r="D19" t="n">
        <v>1704067200</v>
      </c>
      <c r="F19" t="inlineStr">
        <is>
          <t>25 days ago</t>
        </is>
      </c>
      <c r="G19">
        <f>WW_TIMEAGO(C19,D19)</f>
        <v/>
      </c>
      <c r="H19">
        <f>F19=G19</f>
        <v/>
      </c>
    </row>
    <row r="20">
      <c r="A20" t="inlineStr">
        <is>
          <t>timeago</t>
        </is>
      </c>
      <c r="B20" t="inlineStr">
        <is>
          <t>1 month ago - 26 days</t>
        </is>
      </c>
      <c r="C20" t="n">
        <v>1701820800</v>
      </c>
      <c r="D20" t="n">
        <v>1704067200</v>
      </c>
      <c r="F20" t="inlineStr">
        <is>
          <t>1 month ago</t>
        </is>
      </c>
      <c r="G20">
        <f>WW_TIMEAGO(C20,D20)</f>
        <v/>
      </c>
      <c r="H20">
        <f>F20=G20</f>
        <v/>
      </c>
    </row>
    <row r="21">
      <c r="A21" t="inlineStr">
        <is>
          <t>timeago</t>
        </is>
      </c>
      <c r="B21" t="inlineStr">
        <is>
          <t>1 month ago - 45 days</t>
        </is>
      </c>
      <c r="C21" t="n">
        <v>1700179200</v>
      </c>
      <c r="D21" t="n">
        <v>1704067200</v>
      </c>
      <c r="F21" t="inlineStr">
        <is>
          <t>1 month ago</t>
        </is>
      </c>
      <c r="G21">
        <f>WW_TIMEAGO(C21,D21)</f>
        <v/>
      </c>
      <c r="H21">
        <f>F21=G21</f>
        <v/>
      </c>
    </row>
    <row r="22">
      <c r="A22" t="inlineStr">
        <is>
          <t>timeago</t>
        </is>
      </c>
      <c r="B22" t="inlineStr">
        <is>
          <t>2 months ago - 46 days</t>
        </is>
      </c>
      <c r="C22" t="n">
        <v>1700092800</v>
      </c>
      <c r="D22" t="n">
        <v>1704067200</v>
      </c>
      <c r="F22" t="inlineStr">
        <is>
          <t>2 months ago</t>
        </is>
      </c>
      <c r="G22">
        <f>WW_TIMEAGO(C22,D22)</f>
        <v/>
      </c>
      <c r="H22">
        <f>F22=G22</f>
        <v/>
      </c>
    </row>
    <row r="23">
      <c r="A23" t="inlineStr">
        <is>
          <t>timeago</t>
        </is>
      </c>
      <c r="B23" t="inlineStr">
        <is>
          <t>6 months ago</t>
        </is>
      </c>
      <c r="C23" t="n">
        <v>1688169600</v>
      </c>
      <c r="D23" t="n">
        <v>1704067200</v>
      </c>
      <c r="F23" t="inlineStr">
        <is>
          <t>6 months ago</t>
        </is>
      </c>
      <c r="G23">
        <f>WW_TIMEAGO(C23,D23)</f>
        <v/>
      </c>
      <c r="H23">
        <f>F23=G23</f>
        <v/>
      </c>
    </row>
    <row r="24">
      <c r="A24" t="inlineStr">
        <is>
          <t>timeago</t>
        </is>
      </c>
      <c r="B24" t="inlineStr">
        <is>
          <t>10 months ago - 319 days</t>
        </is>
      </c>
      <c r="C24" t="n">
        <v>1676505600</v>
      </c>
      <c r="D24" t="n">
        <v>1704067200</v>
      </c>
      <c r="F24" t="inlineStr">
        <is>
          <t>10 months ago</t>
        </is>
      </c>
      <c r="G24">
        <f>WW_TIMEAGO(C24,D24)</f>
        <v/>
      </c>
      <c r="H24">
        <f>F24=G24</f>
        <v/>
      </c>
    </row>
    <row r="25">
      <c r="A25" t="inlineStr">
        <is>
          <t>timeago</t>
        </is>
      </c>
      <c r="B25" t="inlineStr">
        <is>
          <t>1 year ago - 320 days</t>
        </is>
      </c>
      <c r="C25" t="n">
        <v>1676419200</v>
      </c>
      <c r="D25" t="n">
        <v>1704067200</v>
      </c>
      <c r="F25" t="inlineStr">
        <is>
          <t>1 year ago</t>
        </is>
      </c>
      <c r="G25">
        <f>WW_TIMEAGO(C25,D25)</f>
        <v/>
      </c>
      <c r="H25">
        <f>F25=G25</f>
        <v/>
      </c>
    </row>
    <row r="26">
      <c r="A26" t="inlineStr">
        <is>
          <t>timeago</t>
        </is>
      </c>
      <c r="B26" t="inlineStr">
        <is>
          <t>1 year ago - 547 days</t>
        </is>
      </c>
      <c r="C26" t="n">
        <v>1656806400</v>
      </c>
      <c r="D26" t="n">
        <v>1704067200</v>
      </c>
      <c r="F26" t="inlineStr">
        <is>
          <t>1 year ago</t>
        </is>
      </c>
      <c r="G26">
        <f>WW_TIMEAGO(C26,D26)</f>
        <v/>
      </c>
      <c r="H26">
        <f>F26=G26</f>
        <v/>
      </c>
    </row>
    <row r="27">
      <c r="A27" t="inlineStr">
        <is>
          <t>timeago</t>
        </is>
      </c>
      <c r="B27" t="inlineStr">
        <is>
          <t>2 years ago - 548 days</t>
        </is>
      </c>
      <c r="C27" t="n">
        <v>1656720000</v>
      </c>
      <c r="D27" t="n">
        <v>1704067200</v>
      </c>
      <c r="F27" t="inlineStr">
        <is>
          <t>2 years ago</t>
        </is>
      </c>
      <c r="G27">
        <f>WW_TIMEAGO(C27,D27)</f>
        <v/>
      </c>
      <c r="H27">
        <f>F27=G27</f>
        <v/>
      </c>
    </row>
    <row r="28">
      <c r="A28" t="inlineStr">
        <is>
          <t>timeago</t>
        </is>
      </c>
      <c r="B28" t="inlineStr">
        <is>
          <t>5 years ago</t>
        </is>
      </c>
      <c r="C28" t="n">
        <v>1546300800</v>
      </c>
      <c r="D28" t="n">
        <v>1704067200</v>
      </c>
      <c r="F28" t="inlineStr">
        <is>
          <t>5 years ago</t>
        </is>
      </c>
      <c r="G28">
        <f>WW_TIMEAGO(C28,D28)</f>
        <v/>
      </c>
      <c r="H28">
        <f>F28=G28</f>
        <v/>
      </c>
    </row>
    <row r="29">
      <c r="A29" t="inlineStr">
        <is>
          <t>timeago</t>
        </is>
      </c>
      <c r="B29" t="inlineStr">
        <is>
          <t>future - in just now (30 seconds)</t>
        </is>
      </c>
      <c r="C29" t="n">
        <v>1704067230</v>
      </c>
      <c r="D29" t="n">
        <v>1704067200</v>
      </c>
      <c r="F29" t="inlineStr">
        <is>
          <t>just now</t>
        </is>
      </c>
      <c r="G29">
        <f>WW_TIMEAGO(C29,D29)</f>
        <v/>
      </c>
      <c r="H29">
        <f>F29=G29</f>
        <v/>
      </c>
    </row>
    <row r="30">
      <c r="A30" t="inlineStr">
        <is>
          <t>timeago</t>
        </is>
      </c>
      <c r="B30" t="inlineStr">
        <is>
          <t>future - in 1 minute</t>
        </is>
      </c>
      <c r="C30" t="n">
        <v>1704067260</v>
      </c>
      <c r="D30" t="n">
        <v>1704067200</v>
      </c>
      <c r="F30" t="inlineStr">
        <is>
          <t>in 1 minute</t>
        </is>
      </c>
      <c r="G30">
        <f>WW_TIMEAGO(C30,D30)</f>
        <v/>
      </c>
      <c r="H30">
        <f>F30=G30</f>
        <v/>
      </c>
    </row>
    <row r="31">
      <c r="A31" t="inlineStr">
        <is>
          <t>timeago</t>
        </is>
      </c>
      <c r="B31" t="inlineStr">
        <is>
          <t>future - in 5 minutes</t>
        </is>
      </c>
      <c r="C31" t="n">
        <v>1704067500</v>
      </c>
      <c r="D31" t="n">
        <v>1704067200</v>
      </c>
      <c r="F31" t="inlineStr">
        <is>
          <t>in 5 minutes</t>
        </is>
      </c>
      <c r="G31">
        <f>WW_TIMEAGO(C31,D31)</f>
        <v/>
      </c>
      <c r="H31">
        <f>F31=G31</f>
        <v/>
      </c>
    </row>
    <row r="32">
      <c r="A32" t="inlineStr">
        <is>
          <t>timeago</t>
        </is>
      </c>
      <c r="B32" t="inlineStr">
        <is>
          <t>future - in 1 hour</t>
        </is>
      </c>
      <c r="C32" t="n">
        <v>1704070200</v>
      </c>
      <c r="D32" t="n">
        <v>1704067200</v>
      </c>
      <c r="F32" t="inlineStr">
        <is>
          <t>in 1 hour</t>
        </is>
      </c>
      <c r="G32">
        <f>WW_TIMEAGO(C32,D32)</f>
        <v/>
      </c>
      <c r="H32">
        <f>F32=G32</f>
        <v/>
      </c>
    </row>
    <row r="33">
      <c r="A33" t="inlineStr">
        <is>
          <t>timeago</t>
        </is>
      </c>
      <c r="B33" t="inlineStr">
        <is>
          <t>future - in 3 hours</t>
        </is>
      </c>
      <c r="C33" t="n">
        <v>1704078000</v>
      </c>
      <c r="D33" t="n">
        <v>1704067200</v>
      </c>
      <c r="F33" t="inlineStr">
        <is>
          <t>in 3 hours</t>
        </is>
      </c>
      <c r="G33">
        <f>WW_TIMEAGO(C33,D33)</f>
        <v/>
      </c>
      <c r="H33">
        <f>F33=G33</f>
        <v/>
      </c>
    </row>
    <row r="34">
      <c r="A34" t="inlineStr">
        <is>
          <t>timeago</t>
        </is>
      </c>
      <c r="B34" t="inlineStr">
        <is>
          <t>future - in 1 day</t>
        </is>
      </c>
      <c r="C34" t="n">
        <v>1704150000</v>
      </c>
      <c r="D34" t="n">
        <v>1704067200</v>
      </c>
      <c r="F34" t="inlineStr">
        <is>
          <t>in 1 day</t>
        </is>
      </c>
      <c r="G34">
        <f>WW_TIMEAGO(C34,D34)</f>
        <v/>
      </c>
      <c r="H34">
        <f>F34=G34</f>
        <v/>
      </c>
    </row>
    <row r="35">
      <c r="A35" t="inlineStr">
        <is>
          <t>timeago</t>
        </is>
      </c>
      <c r="B35" t="inlineStr">
        <is>
          <t>future - in 2 days</t>
        </is>
      </c>
      <c r="C35" t="n">
        <v>1704240000</v>
      </c>
      <c r="D35" t="n">
        <v>1704067200</v>
      </c>
      <c r="F35" t="inlineStr">
        <is>
          <t>in 2 days</t>
        </is>
      </c>
      <c r="G35">
        <f>WW_TIMEAGO(C35,D35)</f>
        <v/>
      </c>
      <c r="H35">
        <f>F35=G35</f>
        <v/>
      </c>
    </row>
    <row r="36">
      <c r="A36" t="inlineStr">
        <is>
          <t>timeago</t>
        </is>
      </c>
      <c r="B36" t="inlineStr">
        <is>
          <t>future - in 1 month</t>
        </is>
      </c>
      <c r="C36" t="n">
        <v>1706745600</v>
      </c>
      <c r="D36" t="n">
        <v>1704067200</v>
      </c>
      <c r="F36" t="inlineStr">
        <is>
          <t>in 1 month</t>
        </is>
      </c>
      <c r="G36">
        <f>WW_TIMEAGO(C36,D36)</f>
        <v/>
      </c>
      <c r="H36">
        <f>F36=G36</f>
        <v/>
      </c>
    </row>
    <row r="37">
      <c r="A37" t="inlineStr">
        <is>
          <t>timeago</t>
        </is>
      </c>
      <c r="B37" t="inlineStr">
        <is>
          <t>future - in 1 year</t>
        </is>
      </c>
      <c r="C37" t="n">
        <v>1735689600</v>
      </c>
      <c r="D37" t="n">
        <v>1704067200</v>
      </c>
      <c r="F37" t="inlineStr">
        <is>
          <t>in 1 year</t>
        </is>
      </c>
      <c r="G37">
        <f>WW_TIMEAGO(C37,D37)</f>
        <v/>
      </c>
      <c r="H37">
        <f>F37=G37</f>
        <v/>
      </c>
    </row>
    <row r="38">
      <c r="A38" t="inlineStr">
        <is>
          <t>duration</t>
        </is>
      </c>
      <c r="B38" t="inlineStr">
        <is>
          <t>zero seconds</t>
        </is>
      </c>
      <c r="C38" t="n">
        <v>0</v>
      </c>
      <c r="D38" t="b">
        <v>0</v>
      </c>
      <c r="E38" t="n">
        <v>2</v>
      </c>
      <c r="F38" t="inlineStr">
        <is>
          <t>0 seconds</t>
        </is>
      </c>
      <c r="G38">
        <f>WW_DURATION(C38,D38,E38)</f>
        <v/>
      </c>
      <c r="H38">
        <f>F38=G38</f>
        <v/>
      </c>
    </row>
    <row r="39">
      <c r="A39" t="inlineStr">
        <is>
          <t>duration</t>
        </is>
      </c>
      <c r="B39" t="inlineStr">
        <is>
          <t>1 second</t>
        </is>
      </c>
      <c r="C39" t="n">
        <v>1</v>
      </c>
      <c r="D39" t="b">
        <v>0</v>
      </c>
      <c r="E39" t="n">
        <v>2</v>
      </c>
      <c r="F39" t="inlineStr">
        <is>
          <t>1 second</t>
        </is>
      </c>
      <c r="G39">
        <f>WW_DURATION(C39,D39,E39)</f>
        <v/>
      </c>
      <c r="H39">
        <f>F39=G39</f>
        <v/>
      </c>
    </row>
    <row r="40">
      <c r="A40" t="inlineStr">
        <is>
          <t>duration</t>
        </is>
      </c>
      <c r="B40" t="inlineStr">
        <is>
          <t>45 seconds</t>
        </is>
      </c>
      <c r="C40" t="n">
        <v>45</v>
      </c>
      <c r="D40" t="b">
        <v>0</v>
      </c>
      <c r="E40" t="n">
        <v>2</v>
      </c>
      <c r="F40" t="inlineStr">
        <is>
          <t>45 seconds</t>
        </is>
      </c>
      <c r="G40">
        <f>WW_DURATION(C40,D40,E40)</f>
        <v/>
      </c>
      <c r="H40">
        <f>F40=G40</f>
        <v/>
      </c>
    </row>
    <row r="41">
      <c r="A41" t="inlineStr">
        <is>
          <t>duration</t>
        </is>
      </c>
      <c r="B41" t="inlineStr">
        <is>
          <t>1 minute</t>
        </is>
      </c>
      <c r="C41" t="n">
        <v>60</v>
      </c>
      <c r="D41" t="b">
        <v>0</v>
      </c>
      <c r="E41" t="n">
        <v>2</v>
      </c>
      <c r="F41" t="inlineStr">
        <is>
          <t>1 minute</t>
        </is>
      </c>
      <c r="G41">
        <f>WW_DURATION(C41,D41,E41)</f>
        <v/>
      </c>
      <c r="H41">
        <f>F41=G41</f>
        <v/>
      </c>
    </row>
    <row r="42">
      <c r="A42" t="inlineStr">
        <is>
          <t>duration</t>
        </is>
      </c>
      <c r="B42" t="inlineStr">
        <is>
          <t>1 minute 30 seconds</t>
        </is>
      </c>
      <c r="C42" t="n">
        <v>90</v>
      </c>
      <c r="D42" t="b">
        <v>0</v>
      </c>
      <c r="E42" t="n">
        <v>2</v>
      </c>
      <c r="F42" t="inlineStr">
        <is>
          <t>1 minute, 30 seconds</t>
        </is>
      </c>
      <c r="G42">
        <f>WW_DURATION(C42,D42,E42)</f>
        <v/>
      </c>
      <c r="H42">
        <f>F42=G42</f>
        <v/>
      </c>
    </row>
    <row r="43">
      <c r="A43" t="inlineStr">
        <is>
          <t>duration</t>
        </is>
      </c>
      <c r="B43" t="inlineStr">
        <is>
          <t>2 minutes</t>
        </is>
      </c>
      <c r="C43" t="n">
        <v>120</v>
      </c>
      <c r="D43" t="b">
        <v>0</v>
      </c>
      <c r="E43" t="n">
        <v>2</v>
      </c>
      <c r="F43" t="inlineStr">
        <is>
          <t>2 minutes</t>
        </is>
      </c>
      <c r="G43">
        <f>WW_DURATION(C43,D43,E43)</f>
        <v/>
      </c>
      <c r="H43">
        <f>F43=G43</f>
        <v/>
      </c>
    </row>
    <row r="44">
      <c r="A44" t="inlineStr">
        <is>
          <t>duration</t>
        </is>
      </c>
      <c r="B44" t="inlineStr">
        <is>
          <t>1 hour</t>
        </is>
      </c>
      <c r="C44" t="n">
        <v>3600</v>
      </c>
      <c r="D44" t="b">
        <v>0</v>
      </c>
      <c r="E44" t="n">
        <v>2</v>
      </c>
      <c r="F44" t="inlineStr">
        <is>
          <t>1 hour</t>
        </is>
      </c>
      <c r="G44">
        <f>WW_DURATION(C44,D44,E44)</f>
        <v/>
      </c>
      <c r="H44">
        <f>F44=G44</f>
        <v/>
      </c>
    </row>
    <row r="45">
      <c r="A45" t="inlineStr">
        <is>
          <t>duration</t>
        </is>
      </c>
      <c r="B45" t="inlineStr">
        <is>
          <t>1 hour 1 minute</t>
        </is>
      </c>
      <c r="C45" t="n">
        <v>3661</v>
      </c>
      <c r="D45" t="b">
        <v>0</v>
      </c>
      <c r="E45" t="n">
        <v>2</v>
      </c>
      <c r="F45" t="inlineStr">
        <is>
          <t>1 hour, 1 minute</t>
        </is>
      </c>
      <c r="G45">
        <f>WW_DURATION(C45,D45,E45)</f>
        <v/>
      </c>
      <c r="H45">
        <f>F45=G45</f>
        <v/>
      </c>
    </row>
    <row r="46">
      <c r="A46" t="inlineStr">
        <is>
          <t>duration</t>
        </is>
      </c>
      <c r="B46" t="inlineStr">
        <is>
          <t>1 hour 30 minutes</t>
        </is>
      </c>
      <c r="C46" t="n">
        <v>5400</v>
      </c>
      <c r="D46" t="b">
        <v>0</v>
      </c>
      <c r="E46" t="n">
        <v>2</v>
      </c>
      <c r="F46" t="inlineStr">
        <is>
          <t>1 hour, 30 minutes</t>
        </is>
      </c>
      <c r="G46">
        <f>WW_DURATION(C46,D46,E46)</f>
        <v/>
      </c>
      <c r="H46">
        <f>F46=G46</f>
        <v/>
      </c>
    </row>
    <row r="47">
      <c r="A47" t="inlineStr">
        <is>
          <t>duration</t>
        </is>
      </c>
      <c r="B47" t="inlineStr">
        <is>
          <t>2 hours 30 minutes</t>
        </is>
      </c>
      <c r="C47" t="n">
        <v>9000</v>
      </c>
      <c r="D47" t="b">
        <v>0</v>
      </c>
      <c r="E47" t="n">
        <v>2</v>
      </c>
      <c r="F47" t="inlineStr">
        <is>
          <t>2 hours, 30 minutes</t>
        </is>
      </c>
      <c r="G47">
        <f>WW_DURATION(C47,D47,E47)</f>
        <v/>
      </c>
      <c r="H47">
        <f>F47=G47</f>
        <v/>
      </c>
    </row>
    <row r="48">
      <c r="A48" t="inlineStr">
        <is>
          <t>duration</t>
        </is>
      </c>
      <c r="B48" t="inlineStr">
        <is>
          <t>1 day</t>
        </is>
      </c>
      <c r="C48" t="n">
        <v>86400</v>
      </c>
      <c r="D48" t="b">
        <v>0</v>
      </c>
      <c r="E48" t="n">
        <v>2</v>
      </c>
      <c r="F48" t="inlineStr">
        <is>
          <t>1 day</t>
        </is>
      </c>
      <c r="G48">
        <f>WW_DURATION(C48,D48,E48)</f>
        <v/>
      </c>
      <c r="H48">
        <f>F48=G48</f>
        <v/>
      </c>
    </row>
    <row r="49">
      <c r="A49" t="inlineStr">
        <is>
          <t>duration</t>
        </is>
      </c>
      <c r="B49" t="inlineStr">
        <is>
          <t>1 day 2 hours</t>
        </is>
      </c>
      <c r="C49" t="n">
        <v>93600</v>
      </c>
      <c r="D49" t="b">
        <v>0</v>
      </c>
      <c r="E49" t="n">
        <v>2</v>
      </c>
      <c r="F49" t="inlineStr">
        <is>
          <t>1 day, 2 hours</t>
        </is>
      </c>
      <c r="G49">
        <f>WW_DURATION(C49,D49,E49)</f>
        <v/>
      </c>
      <c r="H49">
        <f>F49=G49</f>
        <v/>
      </c>
    </row>
    <row r="50">
      <c r="A50" t="inlineStr">
        <is>
          <t>duration</t>
        </is>
      </c>
      <c r="B50" t="inlineStr">
        <is>
          <t>7 days</t>
        </is>
      </c>
      <c r="C50" t="n">
        <v>604800</v>
      </c>
      <c r="D50" t="b">
        <v>0</v>
      </c>
      <c r="E50" t="n">
        <v>2</v>
      </c>
      <c r="F50" t="inlineStr">
        <is>
          <t>7 days</t>
        </is>
      </c>
      <c r="G50">
        <f>WW_DURATION(C50,D50,E50)</f>
        <v/>
      </c>
      <c r="H50">
        <f>F50=G50</f>
        <v/>
      </c>
    </row>
    <row r="51">
      <c r="A51" t="inlineStr">
        <is>
          <t>duration</t>
        </is>
      </c>
      <c r="B51" t="inlineStr">
        <is>
          <t>1 month (30 days)</t>
        </is>
      </c>
      <c r="C51" t="n">
        <v>2592000</v>
      </c>
      <c r="D51" t="b">
        <v>0</v>
      </c>
      <c r="E51" t="n">
        <v>2</v>
      </c>
      <c r="F51" t="inlineStr">
        <is>
          <t>1 month</t>
        </is>
      </c>
      <c r="G51">
        <f>WW_DURATION(C51,D51,E51)</f>
        <v/>
      </c>
      <c r="H51">
        <f>F51=G51</f>
        <v/>
      </c>
    </row>
    <row r="52">
      <c r="A52" t="inlineStr">
        <is>
          <t>duration</t>
        </is>
      </c>
      <c r="B52" t="inlineStr">
        <is>
          <t>1 year (365 days)</t>
        </is>
      </c>
      <c r="C52" t="n">
        <v>31536000</v>
      </c>
      <c r="D52" t="b">
        <v>0</v>
      </c>
      <c r="E52" t="n">
        <v>2</v>
      </c>
      <c r="F52" t="inlineStr">
        <is>
          <t>1 year</t>
        </is>
      </c>
      <c r="G52">
        <f>WW_DURATION(C52,D52,E52)</f>
        <v/>
      </c>
      <c r="H52">
        <f>F52=G52</f>
        <v/>
      </c>
    </row>
    <row r="53">
      <c r="A53" t="inlineStr">
        <is>
          <t>duration</t>
        </is>
      </c>
      <c r="B53" t="inlineStr">
        <is>
          <t>1 year 2 months</t>
        </is>
      </c>
      <c r="C53" t="n">
        <v>36720000</v>
      </c>
      <c r="D53" t="b">
        <v>0</v>
      </c>
      <c r="E53" t="n">
        <v>2</v>
      </c>
      <c r="F53" t="inlineStr">
        <is>
          <t>1 year, 2 months</t>
        </is>
      </c>
      <c r="G53">
        <f>WW_DURATION(C53,D53,E53)</f>
        <v/>
      </c>
      <c r="H53">
        <f>F53=G53</f>
        <v/>
      </c>
    </row>
    <row r="54">
      <c r="A54" t="inlineStr">
        <is>
          <t>duration</t>
        </is>
      </c>
      <c r="B54" t="inlineStr">
        <is>
          <t>compact - 1h 1m</t>
        </is>
      </c>
      <c r="C54" t="n">
        <v>3661</v>
      </c>
      <c r="D54" t="b">
        <v>1</v>
      </c>
      <c r="E54" t="n">
        <v>2</v>
      </c>
      <c r="F54" t="inlineStr">
        <is>
          <t>1h 1m</t>
        </is>
      </c>
      <c r="G54">
        <f>WW_DURATION(C54,D54,E54)</f>
        <v/>
      </c>
      <c r="H54">
        <f>F54=G54</f>
        <v/>
      </c>
    </row>
    <row r="55">
      <c r="A55" t="inlineStr">
        <is>
          <t>duration</t>
        </is>
      </c>
      <c r="B55" t="inlineStr">
        <is>
          <t>compact - 2h 30m</t>
        </is>
      </c>
      <c r="C55" t="n">
        <v>9000</v>
      </c>
      <c r="D55" t="b">
        <v>1</v>
      </c>
      <c r="E55" t="n">
        <v>2</v>
      </c>
      <c r="F55" t="inlineStr">
        <is>
          <t>2h 30m</t>
        </is>
      </c>
      <c r="G55">
        <f>WW_DURATION(C55,D55,E55)</f>
        <v/>
      </c>
      <c r="H55">
        <f>F55=G55</f>
        <v/>
      </c>
    </row>
    <row r="56">
      <c r="A56" t="inlineStr">
        <is>
          <t>duration</t>
        </is>
      </c>
      <c r="B56" t="inlineStr">
        <is>
          <t>compact - 1d 2h</t>
        </is>
      </c>
      <c r="C56" t="n">
        <v>93600</v>
      </c>
      <c r="D56" t="b">
        <v>1</v>
      </c>
      <c r="E56" t="n">
        <v>2</v>
      </c>
      <c r="F56" t="inlineStr">
        <is>
          <t>1d 2h</t>
        </is>
      </c>
      <c r="G56">
        <f>WW_DURATION(C56,D56,E56)</f>
        <v/>
      </c>
      <c r="H56">
        <f>F56=G56</f>
        <v/>
      </c>
    </row>
    <row r="57">
      <c r="A57" t="inlineStr">
        <is>
          <t>duration</t>
        </is>
      </c>
      <c r="B57" t="inlineStr">
        <is>
          <t>compact - 45s</t>
        </is>
      </c>
      <c r="C57" t="n">
        <v>45</v>
      </c>
      <c r="D57" t="b">
        <v>1</v>
      </c>
      <c r="E57" t="n">
        <v>2</v>
      </c>
      <c r="F57" t="inlineStr">
        <is>
          <t>45s</t>
        </is>
      </c>
      <c r="G57">
        <f>WW_DURATION(C57,D57,E57)</f>
        <v/>
      </c>
      <c r="H57">
        <f>F57=G57</f>
        <v/>
      </c>
    </row>
    <row r="58">
      <c r="A58" t="inlineStr">
        <is>
          <t>duration</t>
        </is>
      </c>
      <c r="B58" t="inlineStr">
        <is>
          <t>compact - 0s</t>
        </is>
      </c>
      <c r="C58" t="n">
        <v>0</v>
      </c>
      <c r="D58" t="b">
        <v>1</v>
      </c>
      <c r="E58" t="n">
        <v>2</v>
      </c>
      <c r="F58" t="inlineStr">
        <is>
          <t>0s</t>
        </is>
      </c>
      <c r="G58">
        <f>WW_DURATION(C58,D58,E58)</f>
        <v/>
      </c>
      <c r="H58">
        <f>F58=G58</f>
        <v/>
      </c>
    </row>
    <row r="59">
      <c r="A59" t="inlineStr">
        <is>
          <t>duration</t>
        </is>
      </c>
      <c r="B59" t="inlineStr">
        <is>
          <t>max_units 1 - hours only</t>
        </is>
      </c>
      <c r="C59" t="n">
        <v>3661</v>
      </c>
      <c r="D59" t="b">
        <v>0</v>
      </c>
      <c r="E59" t="n">
        <v>1</v>
      </c>
      <c r="F59" t="inlineStr">
        <is>
          <t>1 hour</t>
        </is>
      </c>
      <c r="G59">
        <f>WW_DURATION(C59,D59,E59)</f>
        <v/>
      </c>
      <c r="H59">
        <f>F59=G59</f>
        <v/>
      </c>
    </row>
    <row r="60">
      <c r="A60" t="inlineStr">
        <is>
          <t>duration</t>
        </is>
      </c>
      <c r="B60" t="inlineStr">
        <is>
          <t>max_units 1 - days only</t>
        </is>
      </c>
      <c r="C60" t="n">
        <v>93600</v>
      </c>
      <c r="D60" t="b">
        <v>0</v>
      </c>
      <c r="E60" t="n">
        <v>1</v>
      </c>
      <c r="F60" t="inlineStr">
        <is>
          <t>1 day</t>
        </is>
      </c>
      <c r="G60">
        <f>WW_DURATION(C60,D60,E60)</f>
        <v/>
      </c>
      <c r="H60">
        <f>F60=G60</f>
        <v/>
      </c>
    </row>
    <row r="61">
      <c r="A61" t="inlineStr">
        <is>
          <t>duration</t>
        </is>
      </c>
      <c r="B61" t="inlineStr">
        <is>
          <t>max_units 3</t>
        </is>
      </c>
      <c r="C61" t="n">
        <v>93661</v>
      </c>
      <c r="D61" t="b">
        <v>0</v>
      </c>
      <c r="E61" t="n">
        <v>3</v>
      </c>
      <c r="F61" t="inlineStr">
        <is>
          <t>1 day, 2 hours, 1 minute</t>
        </is>
      </c>
      <c r="G61">
        <f>WW_DURATION(C61,D61,E61)</f>
        <v/>
      </c>
      <c r="H61">
        <f>F61=G61</f>
        <v/>
      </c>
    </row>
    <row r="62">
      <c r="A62" t="inlineStr">
        <is>
          <t>duration</t>
        </is>
      </c>
      <c r="B62" t="inlineStr">
        <is>
          <t>compact max_units 1</t>
        </is>
      </c>
      <c r="C62" t="n">
        <v>9000</v>
      </c>
      <c r="D62" t="b">
        <v>1</v>
      </c>
      <c r="E62" t="n">
        <v>1</v>
      </c>
      <c r="F62" t="inlineStr">
        <is>
          <t>2h</t>
        </is>
      </c>
      <c r="G62">
        <f>WW_DURATION(C62,D62,E62)</f>
        <v/>
      </c>
      <c r="H62">
        <f>F62=G62</f>
        <v/>
      </c>
    </row>
    <row r="63">
      <c r="A63" t="inlineStr">
        <is>
          <t>parse_duration</t>
        </is>
      </c>
      <c r="B63" t="inlineStr">
        <is>
          <t>compact hours minutes</t>
        </is>
      </c>
      <c r="C63" t="inlineStr">
        <is>
          <t>2h30m</t>
        </is>
      </c>
      <c r="F63" t="n">
        <v>9000</v>
      </c>
      <c r="G63">
        <f>WW_PARSE_DURATION(C63)</f>
        <v/>
      </c>
      <c r="H63">
        <f>F63=G63</f>
        <v/>
      </c>
    </row>
    <row r="64">
      <c r="A64" t="inlineStr">
        <is>
          <t>parse_duration</t>
        </is>
      </c>
      <c r="B64" t="inlineStr">
        <is>
          <t>compact with space</t>
        </is>
      </c>
      <c r="C64" t="inlineStr">
        <is>
          <t>2h 30m</t>
        </is>
      </c>
      <c r="F64" t="n">
        <v>9000</v>
      </c>
      <c r="G64">
        <f>WW_PARSE_DURATION(C64)</f>
        <v/>
      </c>
      <c r="H64">
        <f>F64=G64</f>
        <v/>
      </c>
    </row>
    <row r="65">
      <c r="A65" t="inlineStr">
        <is>
          <t>parse_duration</t>
        </is>
      </c>
      <c r="B65" t="inlineStr">
        <is>
          <t>compact with comma</t>
        </is>
      </c>
      <c r="C65" t="inlineStr">
        <is>
          <t>2h, 30m</t>
        </is>
      </c>
      <c r="F65" t="n">
        <v>9000</v>
      </c>
      <c r="G65">
        <f>WW_PARSE_DURATION(C65)</f>
        <v/>
      </c>
      <c r="H65">
        <f>F65=G65</f>
        <v/>
      </c>
    </row>
    <row r="66">
      <c r="A66" t="inlineStr">
        <is>
          <t>parse_duration</t>
        </is>
      </c>
      <c r="B66" t="inlineStr">
        <is>
          <t>verbose</t>
        </is>
      </c>
      <c r="C66" t="inlineStr">
        <is>
          <t>2 hours 30 minutes</t>
        </is>
      </c>
      <c r="F66" t="n">
        <v>9000</v>
      </c>
      <c r="G66">
        <f>WW_PARSE_DURATION(C66)</f>
        <v/>
      </c>
      <c r="H66">
        <f>F66=G66</f>
        <v/>
      </c>
    </row>
    <row r="67">
      <c r="A67" t="inlineStr">
        <is>
          <t>parse_duration</t>
        </is>
      </c>
      <c r="B67" t="inlineStr">
        <is>
          <t>verbose with and</t>
        </is>
      </c>
      <c r="C67" t="inlineStr">
        <is>
          <t>2 hours and 30 minutes</t>
        </is>
      </c>
      <c r="F67" t="n">
        <v>9000</v>
      </c>
      <c r="G67">
        <f>WW_PARSE_DURATION(C67)</f>
        <v/>
      </c>
      <c r="H67">
        <f>F67=G67</f>
        <v/>
      </c>
    </row>
    <row r="68">
      <c r="A68" t="inlineStr">
        <is>
          <t>parse_duration</t>
        </is>
      </c>
      <c r="B68" t="inlineStr">
        <is>
          <t>verbose with comma and</t>
        </is>
      </c>
      <c r="C68" t="inlineStr">
        <is>
          <t>2 hours, and 30 minutes</t>
        </is>
      </c>
      <c r="F68" t="n">
        <v>9000</v>
      </c>
      <c r="G68">
        <f>WW_PARSE_DURATION(C68)</f>
        <v/>
      </c>
      <c r="H68">
        <f>F68=G68</f>
        <v/>
      </c>
    </row>
    <row r="69">
      <c r="A69" t="inlineStr">
        <is>
          <t>parse_duration</t>
        </is>
      </c>
      <c r="B69" t="inlineStr">
        <is>
          <t>decimal hours</t>
        </is>
      </c>
      <c r="C69" t="inlineStr">
        <is>
          <t>2.5 hours</t>
        </is>
      </c>
      <c r="F69" t="n">
        <v>9000</v>
      </c>
      <c r="G69">
        <f>WW_PARSE_DURATION(C69)</f>
        <v/>
      </c>
      <c r="H69">
        <f>F69=G69</f>
        <v/>
      </c>
    </row>
    <row r="70">
      <c r="A70" t="inlineStr">
        <is>
          <t>parse_duration</t>
        </is>
      </c>
      <c r="B70" t="inlineStr">
        <is>
          <t>decimal compact</t>
        </is>
      </c>
      <c r="C70" t="inlineStr">
        <is>
          <t>1.5h</t>
        </is>
      </c>
      <c r="F70" t="n">
        <v>5400</v>
      </c>
      <c r="G70">
        <f>WW_PARSE_DURATION(C70)</f>
        <v/>
      </c>
      <c r="H70">
        <f>F70=G70</f>
        <v/>
      </c>
    </row>
    <row r="71">
      <c r="A71" t="inlineStr">
        <is>
          <t>parse_duration</t>
        </is>
      </c>
      <c r="B71" t="inlineStr">
        <is>
          <t>single unit minutes verbose</t>
        </is>
      </c>
      <c r="C71" t="inlineStr">
        <is>
          <t>90 minutes</t>
        </is>
      </c>
      <c r="F71" t="n">
        <v>5400</v>
      </c>
      <c r="G71">
        <f>WW_PARSE_DURATION(C71)</f>
        <v/>
      </c>
      <c r="H71">
        <f>F71=G71</f>
        <v/>
      </c>
    </row>
    <row r="72">
      <c r="A72" t="inlineStr">
        <is>
          <t>parse_duration</t>
        </is>
      </c>
      <c r="B72" t="inlineStr">
        <is>
          <t>single unit minutes compact</t>
        </is>
      </c>
      <c r="C72" t="inlineStr">
        <is>
          <t>90m</t>
        </is>
      </c>
      <c r="F72" t="n">
        <v>5400</v>
      </c>
      <c r="G72">
        <f>WW_PARSE_DURATION(C72)</f>
        <v/>
      </c>
      <c r="H72">
        <f>F72=G72</f>
        <v/>
      </c>
    </row>
    <row r="73">
      <c r="A73" t="inlineStr">
        <is>
          <t>parse_duration</t>
        </is>
      </c>
      <c r="B73" t="inlineStr">
        <is>
          <t>single unit min</t>
        </is>
      </c>
      <c r="C73" t="inlineStr">
        <is>
          <t>90min</t>
        </is>
      </c>
      <c r="F73" t="n">
        <v>5400</v>
      </c>
      <c r="G73">
        <f>WW_PARSE_DURATION(C73)</f>
        <v/>
      </c>
      <c r="H73">
        <f>F73=G73</f>
        <v/>
      </c>
    </row>
    <row r="74">
      <c r="A74" t="inlineStr">
        <is>
          <t>parse_duration</t>
        </is>
      </c>
      <c r="B74" t="inlineStr">
        <is>
          <t>colon notation h:mm</t>
        </is>
      </c>
      <c r="C74" t="inlineStr">
        <is>
          <t>2:30</t>
        </is>
      </c>
      <c r="F74" t="n">
        <v>9000</v>
      </c>
      <c r="G74">
        <f>WW_PARSE_DURATION(C74)</f>
        <v/>
      </c>
      <c r="H74">
        <f>F74=G74</f>
        <v/>
      </c>
    </row>
    <row r="75">
      <c r="A75" t="inlineStr">
        <is>
          <t>parse_duration</t>
        </is>
      </c>
      <c r="B75" t="inlineStr">
        <is>
          <t>colon notation h:mm:ss</t>
        </is>
      </c>
      <c r="C75" t="inlineStr">
        <is>
          <t>1:30:00</t>
        </is>
      </c>
      <c r="F75" t="n">
        <v>5400</v>
      </c>
      <c r="G75">
        <f>WW_PARSE_DURATION(C75)</f>
        <v/>
      </c>
      <c r="H75">
        <f>F75=G75</f>
        <v/>
      </c>
    </row>
    <row r="76">
      <c r="A76" t="inlineStr">
        <is>
          <t>parse_duration</t>
        </is>
      </c>
      <c r="B76" t="inlineStr">
        <is>
          <t>colon notation with seconds</t>
        </is>
      </c>
      <c r="C76" t="inlineStr">
        <is>
          <t>0:05:30</t>
        </is>
      </c>
      <c r="F76" t="n">
        <v>330</v>
      </c>
      <c r="G76">
        <f>WW_PARSE_DURATION(C76)</f>
        <v/>
      </c>
      <c r="H76">
        <f>F76=G76</f>
        <v/>
      </c>
    </row>
    <row r="77">
      <c r="A77" t="inlineStr">
        <is>
          <t>parse_duration</t>
        </is>
      </c>
      <c r="B77" t="inlineStr">
        <is>
          <t>days verbose</t>
        </is>
      </c>
      <c r="C77" t="inlineStr">
        <is>
          <t>2 days</t>
        </is>
      </c>
      <c r="F77" t="n">
        <v>172800</v>
      </c>
      <c r="G77">
        <f>WW_PARSE_DURATION(C77)</f>
        <v/>
      </c>
      <c r="H77">
        <f>F77=G77</f>
        <v/>
      </c>
    </row>
    <row r="78">
      <c r="A78" t="inlineStr">
        <is>
          <t>parse_duration</t>
        </is>
      </c>
      <c r="B78" t="inlineStr">
        <is>
          <t>days compact</t>
        </is>
      </c>
      <c r="C78" t="inlineStr">
        <is>
          <t>2d</t>
        </is>
      </c>
      <c r="F78" t="n">
        <v>172800</v>
      </c>
      <c r="G78">
        <f>WW_PARSE_DURATION(C78)</f>
        <v/>
      </c>
      <c r="H78">
        <f>F78=G78</f>
        <v/>
      </c>
    </row>
    <row r="79">
      <c r="A79" t="inlineStr">
        <is>
          <t>parse_duration</t>
        </is>
      </c>
      <c r="B79" t="inlineStr">
        <is>
          <t>weeks verbose</t>
        </is>
      </c>
      <c r="C79" t="inlineStr">
        <is>
          <t>1 week</t>
        </is>
      </c>
      <c r="F79" t="n">
        <v>604800</v>
      </c>
      <c r="G79">
        <f>WW_PARSE_DURATION(C79)</f>
        <v/>
      </c>
      <c r="H79">
        <f>F79=G79</f>
        <v/>
      </c>
    </row>
    <row r="80">
      <c r="A80" t="inlineStr">
        <is>
          <t>parse_duration</t>
        </is>
      </c>
      <c r="B80" t="inlineStr">
        <is>
          <t>weeks compact</t>
        </is>
      </c>
      <c r="C80" t="inlineStr">
        <is>
          <t>1w</t>
        </is>
      </c>
      <c r="F80" t="n">
        <v>604800</v>
      </c>
      <c r="G80">
        <f>WW_PARSE_DURATION(C80)</f>
        <v/>
      </c>
      <c r="H80">
        <f>F80=G80</f>
        <v/>
      </c>
    </row>
    <row r="81">
      <c r="A81" t="inlineStr">
        <is>
          <t>parse_duration</t>
        </is>
      </c>
      <c r="B81" t="inlineStr">
        <is>
          <t>mixed verbose</t>
        </is>
      </c>
      <c r="C81" t="inlineStr">
        <is>
          <t>1 day, 2 hours, and 30 minutes</t>
        </is>
      </c>
      <c r="F81" t="n">
        <v>95400</v>
      </c>
      <c r="G81">
        <f>WW_PARSE_DURATION(C81)</f>
        <v/>
      </c>
      <c r="H81">
        <f>F81=G81</f>
        <v/>
      </c>
    </row>
    <row r="82">
      <c r="A82" t="inlineStr">
        <is>
          <t>parse_duration</t>
        </is>
      </c>
      <c r="B82" t="inlineStr">
        <is>
          <t>mixed compact</t>
        </is>
      </c>
      <c r="C82" t="inlineStr">
        <is>
          <t>1d 2h 30m</t>
        </is>
      </c>
      <c r="F82" t="n">
        <v>95400</v>
      </c>
      <c r="G82">
        <f>WW_PARSE_DURATION(C82)</f>
        <v/>
      </c>
      <c r="H82">
        <f>F82=G82</f>
        <v/>
      </c>
    </row>
    <row r="83">
      <c r="A83" t="inlineStr">
        <is>
          <t>parse_duration</t>
        </is>
      </c>
      <c r="B83" t="inlineStr">
        <is>
          <t>seconds only verbose</t>
        </is>
      </c>
      <c r="C83" t="inlineStr">
        <is>
          <t>45 seconds</t>
        </is>
      </c>
      <c r="F83" t="n">
        <v>45</v>
      </c>
      <c r="G83">
        <f>WW_PARSE_DURATION(C83)</f>
        <v/>
      </c>
      <c r="H83">
        <f>F83=G83</f>
        <v/>
      </c>
    </row>
    <row r="84">
      <c r="A84" t="inlineStr">
        <is>
          <t>parse_duration</t>
        </is>
      </c>
      <c r="B84" t="inlineStr">
        <is>
          <t>seconds compact s</t>
        </is>
      </c>
      <c r="C84" t="inlineStr">
        <is>
          <t>45s</t>
        </is>
      </c>
      <c r="F84" t="n">
        <v>45</v>
      </c>
      <c r="G84">
        <f>WW_PARSE_DURATION(C84)</f>
        <v/>
      </c>
      <c r="H84">
        <f>F84=G84</f>
        <v/>
      </c>
    </row>
    <row r="85">
      <c r="A85" t="inlineStr">
        <is>
          <t>parse_duration</t>
        </is>
      </c>
      <c r="B85" t="inlineStr">
        <is>
          <t>seconds compact sec</t>
        </is>
      </c>
      <c r="C85" t="inlineStr">
        <is>
          <t>45sec</t>
        </is>
      </c>
      <c r="F85" t="n">
        <v>45</v>
      </c>
      <c r="G85">
        <f>WW_PARSE_DURATION(C85)</f>
        <v/>
      </c>
      <c r="H85">
        <f>F85=G85</f>
        <v/>
      </c>
    </row>
    <row r="86">
      <c r="A86" t="inlineStr">
        <is>
          <t>parse_duration</t>
        </is>
      </c>
      <c r="B86" t="inlineStr">
        <is>
          <t>hours hr</t>
        </is>
      </c>
      <c r="C86" t="inlineStr">
        <is>
          <t>2hr</t>
        </is>
      </c>
      <c r="F86" t="n">
        <v>7200</v>
      </c>
      <c r="G86">
        <f>WW_PARSE_DURATION(C86)</f>
        <v/>
      </c>
      <c r="H86">
        <f>F86=G86</f>
        <v/>
      </c>
    </row>
    <row r="87">
      <c r="A87" t="inlineStr">
        <is>
          <t>parse_duration</t>
        </is>
      </c>
      <c r="B87" t="inlineStr">
        <is>
          <t>hours hrs</t>
        </is>
      </c>
      <c r="C87" t="inlineStr">
        <is>
          <t>2hrs</t>
        </is>
      </c>
      <c r="F87" t="n">
        <v>7200</v>
      </c>
      <c r="G87">
        <f>WW_PARSE_DURATION(C87)</f>
        <v/>
      </c>
      <c r="H87">
        <f>F87=G87</f>
        <v/>
      </c>
    </row>
    <row r="88">
      <c r="A88" t="inlineStr">
        <is>
          <t>parse_duration</t>
        </is>
      </c>
      <c r="B88" t="inlineStr">
        <is>
          <t>minutes mins</t>
        </is>
      </c>
      <c r="C88" t="inlineStr">
        <is>
          <t>30mins</t>
        </is>
      </c>
      <c r="F88" t="n">
        <v>1800</v>
      </c>
      <c r="G88">
        <f>WW_PARSE_DURATION(C88)</f>
        <v/>
      </c>
      <c r="H88">
        <f>F88=G88</f>
        <v/>
      </c>
    </row>
    <row r="89">
      <c r="A89" t="inlineStr">
        <is>
          <t>parse_duration</t>
        </is>
      </c>
      <c r="B89" t="inlineStr">
        <is>
          <t>case insensitive</t>
        </is>
      </c>
      <c r="C89" t="inlineStr">
        <is>
          <t>2H 30M</t>
        </is>
      </c>
      <c r="F89" t="n">
        <v>9000</v>
      </c>
      <c r="G89">
        <f>WW_PARSE_DURATION(C89)</f>
        <v/>
      </c>
      <c r="H89">
        <f>F89=G89</f>
        <v/>
      </c>
    </row>
    <row r="90">
      <c r="A90" t="inlineStr">
        <is>
          <t>parse_duration</t>
        </is>
      </c>
      <c r="B90" t="inlineStr">
        <is>
          <t>whitespace tolerance</t>
        </is>
      </c>
      <c r="C90" t="inlineStr">
        <is>
          <t xml:space="preserve">  2 hours   30 minutes  </t>
        </is>
      </c>
      <c r="F90" t="n">
        <v>9000</v>
      </c>
      <c r="G90">
        <f>WW_PARSE_DURATION(C90)</f>
        <v/>
      </c>
      <c r="H90">
        <f>F90=G90</f>
        <v/>
      </c>
    </row>
    <row r="91">
      <c r="A91" t="inlineStr">
        <is>
          <t>human_date</t>
        </is>
      </c>
      <c r="B91" t="inlineStr">
        <is>
          <t>today</t>
        </is>
      </c>
      <c r="C91" t="n">
        <v>1705276800</v>
      </c>
      <c r="D91" t="n">
        <v>1705276800</v>
      </c>
      <c r="F91" t="inlineStr">
        <is>
          <t>Today</t>
        </is>
      </c>
      <c r="G91">
        <f>WW_HUMAN_DATE(C91,D91)</f>
        <v/>
      </c>
      <c r="H91">
        <f>F91=G91</f>
        <v/>
      </c>
    </row>
    <row r="92">
      <c r="A92" t="inlineStr">
        <is>
          <t>human_date</t>
        </is>
      </c>
      <c r="B92" t="inlineStr">
        <is>
          <t>today - same day different time</t>
        </is>
      </c>
      <c r="C92" t="n">
        <v>1705320000</v>
      </c>
      <c r="D92" t="n">
        <v>1705276800</v>
      </c>
      <c r="F92" t="inlineStr">
        <is>
          <t>Today</t>
        </is>
      </c>
      <c r="G92">
        <f>WW_HUMAN_DATE(C92,D92)</f>
        <v/>
      </c>
      <c r="H92">
        <f>F92=G92</f>
        <v/>
      </c>
    </row>
    <row r="93">
      <c r="A93" t="inlineStr">
        <is>
          <t>human_date</t>
        </is>
      </c>
      <c r="B93" t="inlineStr">
        <is>
          <t>yesterday</t>
        </is>
      </c>
      <c r="C93" t="n">
        <v>1705190400</v>
      </c>
      <c r="D93" t="n">
        <v>1705276800</v>
      </c>
      <c r="F93" t="inlineStr">
        <is>
          <t>Yesterday</t>
        </is>
      </c>
      <c r="G93">
        <f>WW_HUMAN_DATE(C93,D93)</f>
        <v/>
      </c>
      <c r="H93">
        <f>F93=G93</f>
        <v/>
      </c>
    </row>
    <row r="94">
      <c r="A94" t="inlineStr">
        <is>
          <t>human_date</t>
        </is>
      </c>
      <c r="B94" t="inlineStr">
        <is>
          <t>tomorrow</t>
        </is>
      </c>
      <c r="C94" t="n">
        <v>1705363200</v>
      </c>
      <c r="D94" t="n">
        <v>1705276800</v>
      </c>
      <c r="F94" t="inlineStr">
        <is>
          <t>Tomorrow</t>
        </is>
      </c>
      <c r="G94">
        <f>WW_HUMAN_DATE(C94,D94)</f>
        <v/>
      </c>
      <c r="H94">
        <f>F94=G94</f>
        <v/>
      </c>
    </row>
    <row r="95">
      <c r="A95" t="inlineStr">
        <is>
          <t>human_date</t>
        </is>
      </c>
      <c r="B95" t="inlineStr">
        <is>
          <t>last Sunday (1 day before Monday)</t>
        </is>
      </c>
      <c r="C95" t="n">
        <v>1705190400</v>
      </c>
      <c r="D95" t="n">
        <v>1705276800</v>
      </c>
      <c r="F95" t="inlineStr">
        <is>
          <t>Yesterday</t>
        </is>
      </c>
      <c r="G95">
        <f>WW_HUMAN_DATE(C95,D95)</f>
        <v/>
      </c>
      <c r="H95">
        <f>F95=G95</f>
        <v/>
      </c>
    </row>
    <row r="96">
      <c r="A96" t="inlineStr">
        <is>
          <t>human_date</t>
        </is>
      </c>
      <c r="B96" t="inlineStr">
        <is>
          <t>last Saturday (2 days ago)</t>
        </is>
      </c>
      <c r="C96" t="n">
        <v>1705104000</v>
      </c>
      <c r="D96" t="n">
        <v>1705276800</v>
      </c>
      <c r="F96" t="inlineStr">
        <is>
          <t>Last Saturday</t>
        </is>
      </c>
      <c r="G96">
        <f>WW_HUMAN_DATE(C96,D96)</f>
        <v/>
      </c>
      <c r="H96">
        <f>F96=G96</f>
        <v/>
      </c>
    </row>
    <row r="97">
      <c r="A97" t="inlineStr">
        <is>
          <t>human_date</t>
        </is>
      </c>
      <c r="B97" t="inlineStr">
        <is>
          <t>last Friday (3 days ago)</t>
        </is>
      </c>
      <c r="C97" t="n">
        <v>1705017600</v>
      </c>
      <c r="D97" t="n">
        <v>1705276800</v>
      </c>
      <c r="F97" t="inlineStr">
        <is>
          <t>Last Friday</t>
        </is>
      </c>
      <c r="G97">
        <f>WW_HUMAN_DATE(C97,D97)</f>
        <v/>
      </c>
      <c r="H97">
        <f>F97=G97</f>
        <v/>
      </c>
    </row>
    <row r="98">
      <c r="A98" t="inlineStr">
        <is>
          <t>human_date</t>
        </is>
      </c>
      <c r="B98" t="inlineStr">
        <is>
          <t>last Thursday (4 days ago)</t>
        </is>
      </c>
      <c r="C98" t="n">
        <v>1704931200</v>
      </c>
      <c r="D98" t="n">
        <v>1705276800</v>
      </c>
      <c r="F98" t="inlineStr">
        <is>
          <t>Last Thursday</t>
        </is>
      </c>
      <c r="G98">
        <f>WW_HUMAN_DATE(C98,D98)</f>
        <v/>
      </c>
      <c r="H98">
        <f>F98=G98</f>
        <v/>
      </c>
    </row>
    <row r="99">
      <c r="A99" t="inlineStr">
        <is>
          <t>human_date</t>
        </is>
      </c>
      <c r="B99" t="inlineStr">
        <is>
          <t>last Wednesday (5 days ago)</t>
        </is>
      </c>
      <c r="C99" t="n">
        <v>1704844800</v>
      </c>
      <c r="D99" t="n">
        <v>1705276800</v>
      </c>
      <c r="F99" t="inlineStr">
        <is>
          <t>Last Wednesday</t>
        </is>
      </c>
      <c r="G99">
        <f>WW_HUMAN_DATE(C99,D99)</f>
        <v/>
      </c>
      <c r="H99">
        <f>F99=G99</f>
        <v/>
      </c>
    </row>
    <row r="100">
      <c r="A100" t="inlineStr">
        <is>
          <t>human_date</t>
        </is>
      </c>
      <c r="B100" t="inlineStr">
        <is>
          <t>last Tuesday (6 days ago)</t>
        </is>
      </c>
      <c r="C100" t="n">
        <v>1704758400</v>
      </c>
      <c r="D100" t="n">
        <v>1705276800</v>
      </c>
      <c r="F100" t="inlineStr">
        <is>
          <t>Last Tuesday</t>
        </is>
      </c>
      <c r="G100">
        <f>WW_HUMAN_DATE(C100,D100)</f>
        <v/>
      </c>
      <c r="H100">
        <f>F100=G100</f>
        <v/>
      </c>
    </row>
    <row r="101">
      <c r="A101" t="inlineStr">
        <is>
          <t>human_date</t>
        </is>
      </c>
      <c r="B101" t="inlineStr">
        <is>
          <t>last Monday (7 days ago) - becomes date</t>
        </is>
      </c>
      <c r="C101" t="n">
        <v>1704672000</v>
      </c>
      <c r="D101" t="n">
        <v>1705276800</v>
      </c>
      <c r="F101" t="inlineStr">
        <is>
          <t>January 8</t>
        </is>
      </c>
      <c r="G101">
        <f>WW_HUMAN_DATE(C101,D101)</f>
        <v/>
      </c>
      <c r="H101">
        <f>F101=G101</f>
        <v/>
      </c>
    </row>
    <row r="102">
      <c r="A102" t="inlineStr">
        <is>
          <t>human_date</t>
        </is>
      </c>
      <c r="B102" t="inlineStr">
        <is>
          <t>this Tuesday (1 day future)</t>
        </is>
      </c>
      <c r="C102" t="n">
        <v>1705363200</v>
      </c>
      <c r="D102" t="n">
        <v>1705276800</v>
      </c>
      <c r="F102" t="inlineStr">
        <is>
          <t>Tomorrow</t>
        </is>
      </c>
      <c r="G102">
        <f>WW_HUMAN_DATE(C102,D102)</f>
        <v/>
      </c>
      <c r="H102">
        <f>F102=G102</f>
        <v/>
      </c>
    </row>
    <row r="103">
      <c r="A103" t="inlineStr">
        <is>
          <t>human_date</t>
        </is>
      </c>
      <c r="B103" t="inlineStr">
        <is>
          <t>this Wednesday (2 days future)</t>
        </is>
      </c>
      <c r="C103" t="n">
        <v>1705449600</v>
      </c>
      <c r="D103" t="n">
        <v>1705276800</v>
      </c>
      <c r="F103" t="inlineStr">
        <is>
          <t>This Wednesday</t>
        </is>
      </c>
      <c r="G103">
        <f>WW_HUMAN_DATE(C103,D103)</f>
        <v/>
      </c>
      <c r="H103">
        <f>F103=G103</f>
        <v/>
      </c>
    </row>
    <row r="104">
      <c r="A104" t="inlineStr">
        <is>
          <t>human_date</t>
        </is>
      </c>
      <c r="B104" t="inlineStr">
        <is>
          <t>this Thursday (3 days future)</t>
        </is>
      </c>
      <c r="C104" t="n">
        <v>1705536000</v>
      </c>
      <c r="D104" t="n">
        <v>1705276800</v>
      </c>
      <c r="F104" t="inlineStr">
        <is>
          <t>This Thursday</t>
        </is>
      </c>
      <c r="G104">
        <f>WW_HUMAN_DATE(C104,D104)</f>
        <v/>
      </c>
      <c r="H104">
        <f>F104=G104</f>
        <v/>
      </c>
    </row>
    <row r="105">
      <c r="A105" t="inlineStr">
        <is>
          <t>human_date</t>
        </is>
      </c>
      <c r="B105" t="inlineStr">
        <is>
          <t>this Sunday (6 days future)</t>
        </is>
      </c>
      <c r="C105" t="n">
        <v>1705795200</v>
      </c>
      <c r="D105" t="n">
        <v>1705276800</v>
      </c>
      <c r="F105" t="inlineStr">
        <is>
          <t>This Sunday</t>
        </is>
      </c>
      <c r="G105">
        <f>WW_HUMAN_DATE(C105,D105)</f>
        <v/>
      </c>
      <c r="H105">
        <f>F105=G105</f>
        <v/>
      </c>
    </row>
    <row r="106">
      <c r="A106" t="inlineStr">
        <is>
          <t>human_date</t>
        </is>
      </c>
      <c r="B106" t="inlineStr">
        <is>
          <t>next Monday (7 days future) - becomes date</t>
        </is>
      </c>
      <c r="C106" t="n">
        <v>1705881600</v>
      </c>
      <c r="D106" t="n">
        <v>1705276800</v>
      </c>
      <c r="F106" t="inlineStr">
        <is>
          <t>January 22</t>
        </is>
      </c>
      <c r="G106">
        <f>WW_HUMAN_DATE(C106,D106)</f>
        <v/>
      </c>
      <c r="H106">
        <f>F106=G106</f>
        <v/>
      </c>
    </row>
    <row r="107">
      <c r="A107" t="inlineStr">
        <is>
          <t>human_date</t>
        </is>
      </c>
      <c r="B107" t="inlineStr">
        <is>
          <t>same year different month</t>
        </is>
      </c>
      <c r="C107" t="n">
        <v>1709251200</v>
      </c>
      <c r="D107" t="n">
        <v>1705276800</v>
      </c>
      <c r="F107" t="inlineStr">
        <is>
          <t>March 1</t>
        </is>
      </c>
      <c r="G107">
        <f>WW_HUMAN_DATE(C107,D107)</f>
        <v/>
      </c>
      <c r="H107">
        <f>F107=G107</f>
        <v/>
      </c>
    </row>
    <row r="108">
      <c r="A108" t="inlineStr">
        <is>
          <t>human_date</t>
        </is>
      </c>
      <c r="B108" t="inlineStr">
        <is>
          <t>same year end of year</t>
        </is>
      </c>
      <c r="C108" t="n">
        <v>1735603200</v>
      </c>
      <c r="D108" t="n">
        <v>1705276800</v>
      </c>
      <c r="F108" t="inlineStr">
        <is>
          <t>December 31</t>
        </is>
      </c>
      <c r="G108">
        <f>WW_HUMAN_DATE(C108,D108)</f>
        <v/>
      </c>
      <c r="H108">
        <f>F108=G108</f>
        <v/>
      </c>
    </row>
    <row r="109">
      <c r="A109" t="inlineStr">
        <is>
          <t>human_date</t>
        </is>
      </c>
      <c r="B109" t="inlineStr">
        <is>
          <t>previous year</t>
        </is>
      </c>
      <c r="C109" t="n">
        <v>1672531200</v>
      </c>
      <c r="D109" t="n">
        <v>1705276800</v>
      </c>
      <c r="F109" t="inlineStr">
        <is>
          <t>January 1, 2023</t>
        </is>
      </c>
      <c r="G109">
        <f>WW_HUMAN_DATE(C109,D109)</f>
        <v/>
      </c>
      <c r="H109">
        <f>F109=G109</f>
        <v/>
      </c>
    </row>
    <row r="110">
      <c r="A110" t="inlineStr">
        <is>
          <t>human_date</t>
        </is>
      </c>
      <c r="B110" t="inlineStr">
        <is>
          <t>next year</t>
        </is>
      </c>
      <c r="C110" t="n">
        <v>1736121600</v>
      </c>
      <c r="D110" t="n">
        <v>1705276800</v>
      </c>
      <c r="F110" t="inlineStr">
        <is>
          <t>January 6, 2025</t>
        </is>
      </c>
      <c r="G110">
        <f>WW_HUMAN_DATE(C110,D110)</f>
        <v/>
      </c>
      <c r="H110">
        <f>F110=G110</f>
        <v/>
      </c>
    </row>
    <row r="111">
      <c r="A111" t="inlineStr">
        <is>
          <t>date_range</t>
        </is>
      </c>
      <c r="B111" t="inlineStr">
        <is>
          <t>same day</t>
        </is>
      </c>
      <c r="C111" t="n">
        <v>1705276800</v>
      </c>
      <c r="D111" t="n">
        <v>1705276800</v>
      </c>
      <c r="F111" t="inlineStr">
        <is>
          <t>January 15, 2024</t>
        </is>
      </c>
      <c r="G111">
        <f>WW_DATE_RANGE(C111,D111)</f>
        <v/>
      </c>
      <c r="H111">
        <f>F111=G111</f>
        <v/>
      </c>
    </row>
    <row r="112">
      <c r="A112" t="inlineStr">
        <is>
          <t>date_range</t>
        </is>
      </c>
      <c r="B112" t="inlineStr">
        <is>
          <t>same day different times</t>
        </is>
      </c>
      <c r="C112" t="n">
        <v>1705276800</v>
      </c>
      <c r="D112" t="n">
        <v>1705320000</v>
      </c>
      <c r="F112" t="inlineStr">
        <is>
          <t>January 15, 2024</t>
        </is>
      </c>
      <c r="G112">
        <f>WW_DATE_RANGE(C112,D112)</f>
        <v/>
      </c>
      <c r="H112">
        <f>F112=G112</f>
        <v/>
      </c>
    </row>
    <row r="113">
      <c r="A113" t="inlineStr">
        <is>
          <t>date_range</t>
        </is>
      </c>
      <c r="B113" t="inlineStr">
        <is>
          <t>consecutive days same month</t>
        </is>
      </c>
      <c r="C113" t="n">
        <v>1705276800</v>
      </c>
      <c r="D113" t="n">
        <v>1705363200</v>
      </c>
      <c r="F113" t="inlineStr">
        <is>
          <t>January 15–16, 2024</t>
        </is>
      </c>
      <c r="G113">
        <f>WW_DATE_RANGE(C113,D113)</f>
        <v/>
      </c>
      <c r="H113">
        <f>F113=G113</f>
        <v/>
      </c>
    </row>
    <row r="114">
      <c r="A114" t="inlineStr">
        <is>
          <t>date_range</t>
        </is>
      </c>
      <c r="B114" t="inlineStr">
        <is>
          <t>same month range</t>
        </is>
      </c>
      <c r="C114" t="n">
        <v>1705276800</v>
      </c>
      <c r="D114" t="n">
        <v>1705881600</v>
      </c>
      <c r="F114" t="inlineStr">
        <is>
          <t>January 15–22, 2024</t>
        </is>
      </c>
      <c r="G114">
        <f>WW_DATE_RANGE(C114,D114)</f>
        <v/>
      </c>
      <c r="H114">
        <f>F114=G114</f>
        <v/>
      </c>
    </row>
    <row r="115">
      <c r="A115" t="inlineStr">
        <is>
          <t>date_range</t>
        </is>
      </c>
      <c r="B115" t="inlineStr">
        <is>
          <t>same year different months</t>
        </is>
      </c>
      <c r="C115" t="n">
        <v>1705276800</v>
      </c>
      <c r="D115" t="n">
        <v>1707955200</v>
      </c>
      <c r="F115" t="inlineStr">
        <is>
          <t>January 15 – February 15, 2024</t>
        </is>
      </c>
      <c r="G115">
        <f>WW_DATE_RANGE(C115,D115)</f>
        <v/>
      </c>
      <c r="H115">
        <f>F115=G115</f>
        <v/>
      </c>
    </row>
    <row r="116">
      <c r="A116" t="inlineStr">
        <is>
          <t>date_range</t>
        </is>
      </c>
      <c r="B116" t="inlineStr">
        <is>
          <t>different years</t>
        </is>
      </c>
      <c r="C116" t="n">
        <v>1703721600</v>
      </c>
      <c r="D116" t="n">
        <v>1705276800</v>
      </c>
      <c r="F116" t="inlineStr">
        <is>
          <t>December 28, 2023 – January 15, 2024</t>
        </is>
      </c>
      <c r="G116">
        <f>WW_DATE_RANGE(C116,D116)</f>
        <v/>
      </c>
      <c r="H116">
        <f>F116=G116</f>
        <v/>
      </c>
    </row>
    <row r="117">
      <c r="A117" t="inlineStr">
        <is>
          <t>date_range</t>
        </is>
      </c>
      <c r="B117" t="inlineStr">
        <is>
          <t>full year span</t>
        </is>
      </c>
      <c r="C117" t="n">
        <v>1704067200</v>
      </c>
      <c r="D117" t="n">
        <v>1735603200</v>
      </c>
      <c r="F117" t="inlineStr">
        <is>
          <t>January 1 – December 31, 2024</t>
        </is>
      </c>
      <c r="G117">
        <f>WW_DATE_RANGE(C117,D117)</f>
        <v/>
      </c>
      <c r="H117">
        <f>F117=G117</f>
        <v/>
      </c>
    </row>
    <row r="118">
      <c r="A118" t="inlineStr">
        <is>
          <t>date_range</t>
        </is>
      </c>
      <c r="B118" t="inlineStr">
        <is>
          <t>swapped inputs - should auto-correct</t>
        </is>
      </c>
      <c r="C118" t="n">
        <v>1705881600</v>
      </c>
      <c r="D118" t="n">
        <v>1705276800</v>
      </c>
      <c r="F118" t="inlineStr">
        <is>
          <t>January 15–22, 2024</t>
        </is>
      </c>
      <c r="G118">
        <f>WW_DATE_RANGE(C118,D118)</f>
        <v/>
      </c>
      <c r="H118">
        <f>F118=G118</f>
        <v/>
      </c>
    </row>
    <row r="119">
      <c r="A119" t="inlineStr">
        <is>
          <t>date_range</t>
        </is>
      </c>
      <c r="B119" t="inlineStr">
        <is>
          <t>multi-year span</t>
        </is>
      </c>
      <c r="C119" t="n">
        <v>1672531200</v>
      </c>
      <c r="D119" t="n">
        <v>1735689600</v>
      </c>
      <c r="F119" t="inlineStr">
        <is>
          <t>January 1, 2023 – January 1, 2025</t>
        </is>
      </c>
      <c r="G119">
        <f>WW_DATE_RANGE(C119,D119)</f>
        <v/>
      </c>
      <c r="H119">
        <f>F119=G119</f>
        <v/>
      </c>
    </row>
    <row r="121">
      <c r="A121" s="4" t="inlineStr">
        <is>
          <t>SUMMARY</t>
        </is>
      </c>
      <c r="F121" t="inlineStr">
        <is>
          <t>Total Tests:</t>
        </is>
      </c>
      <c r="G121" t="n">
        <v>118</v>
      </c>
    </row>
    <row r="122">
      <c r="F122" t="inlineStr">
        <is>
          <t>Passed:</t>
        </is>
      </c>
      <c r="G122">
        <f>COUNTIF(H2:H119,TRUE)</f>
        <v/>
      </c>
    </row>
    <row r="123">
      <c r="F123" t="inlineStr">
        <is>
          <t>Failed:</t>
        </is>
      </c>
      <c r="G123">
        <f>COUNTIF(H2:H119,FALSE)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2026-01-08T23:31:13Z</dcterms:created>
  <dcterms:modified xmlns:dcterms="http://purl.org/dc/terms/" xmlns:xsi="http://www.w3.org/2001/XMLSchema-instance" xsi:type="dcterms:W3CDTF">2026-01-08T23:31:13Z</dcterms:modified>
</cp:coreProperties>
</file>